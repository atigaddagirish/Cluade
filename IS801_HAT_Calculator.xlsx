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8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b val="1"/>
      <color rgb="001E3A5F"/>
      <sz val="14"/>
    </font>
    <font>
      <i val="1"/>
      <color rgb="00888888"/>
      <sz val="9"/>
    </font>
    <font>
      <b val="1"/>
      <color rgb="00FFFFFF"/>
      <sz val="11"/>
    </font>
    <font>
      <color rgb="00444444"/>
      <sz val="10"/>
    </font>
    <font>
      <b val="1"/>
      <sz val="10"/>
    </font>
    <font>
      <b val="1"/>
      <sz val="9"/>
    </font>
    <font>
      <b val="1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0" fontId="5" fillId="3" borderId="1" pivotButton="0" quotePrefix="0" xfId="0"/>
    <xf numFmtId="0" fontId="5" fillId="4" borderId="1" pivotButton="0" quotePrefix="0" xfId="0"/>
    <xf numFmtId="0" fontId="6" fillId="0" borderId="1" pivotButton="0" quotePrefix="0" xfId="0"/>
    <xf numFmtId="0" fontId="0" fillId="0" borderId="1" pivotButton="0" quotePrefix="0" xfId="0"/>
    <xf numFmtId="0" fontId="7" fillId="0" borderId="0" pivotButton="0" quotePrefix="0" xfId="0"/>
    <xf numFmtId="164" fontId="5" fillId="0" borderId="1" pivotButton="0" quotePrefix="0" xfId="0"/>
    <xf numFmtId="0" fontId="5" fillId="0" borderId="1" pivotButton="0" quotePrefix="0" xfId="0"/>
    <xf numFmtId="0" fontId="8" fillId="0" borderId="0" pivotButton="0" quotePrefix="0" xfId="0"/>
    <xf numFmtId="164" fontId="8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7"/>
  <sheetViews>
    <sheetView workbookViewId="0">
      <selection activeCell="A1" sqref="A1"/>
    </sheetView>
  </sheetViews>
  <sheetFormatPr baseColWidth="8" defaultRowHeight="15"/>
  <cols>
    <col width="44" customWidth="1" min="1" max="1"/>
    <col width="16" customWidth="1" min="2" max="2"/>
    <col width="10" customWidth="1" min="3" max="3"/>
    <col width="46" customWidth="1" min="4" max="4"/>
    <col width="4" customWidth="1" min="5" max="5"/>
    <col width="8" customWidth="1" min="6" max="6"/>
    <col width="9" customWidth="1" min="7" max="7"/>
    <col width="9" customWidth="1" min="8" max="8"/>
    <col width="9" customWidth="1" min="9" max="9"/>
    <col width="9" customWidth="1" min="10" max="10"/>
    <col width="10" customWidth="1" min="11" max="11"/>
    <col width="10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A1" s="1" t="inlineStr">
        <is>
          <t>IS 801:1975 — Trapezoidal Lipped HAT Purlin Design Check (formula-linked)</t>
        </is>
      </c>
    </row>
    <row r="2">
      <c r="A2" s="2" t="inlineStr">
        <is>
          <t>Yellow cells = inputs. Everything else recalculates automatically.</t>
        </is>
      </c>
    </row>
    <row r="4">
      <c r="A4" s="3" t="inlineStr">
        <is>
          <t>1. INPUTS</t>
        </is>
      </c>
      <c r="B4" s="4" t="n"/>
      <c r="C4" s="4" t="n"/>
      <c r="D4" s="4" t="n"/>
      <c r="E4" s="4" t="n"/>
    </row>
    <row r="5">
      <c r="A5" s="5" t="inlineStr">
        <is>
          <t>Top flange B1</t>
        </is>
      </c>
      <c r="B5" s="6" t="n">
        <v>40</v>
      </c>
      <c r="C5" s="5" t="inlineStr">
        <is>
          <t>mm</t>
        </is>
      </c>
      <c r="D5" s="2" t="inlineStr"/>
    </row>
    <row r="6">
      <c r="A6" s="5" t="inlineStr">
        <is>
          <t>Overall height H</t>
        </is>
      </c>
      <c r="B6" s="6" t="n">
        <v>70</v>
      </c>
      <c r="C6" s="5" t="inlineStr">
        <is>
          <t>mm</t>
        </is>
      </c>
      <c r="D6" s="2" t="inlineStr"/>
    </row>
    <row r="7">
      <c r="A7" s="5" t="inlineStr">
        <is>
          <t>Web angle θ (from horizontal)</t>
        </is>
      </c>
      <c r="B7" s="6" t="n">
        <v>75</v>
      </c>
      <c r="C7" s="5" t="inlineStr">
        <is>
          <t>deg</t>
        </is>
      </c>
      <c r="D7" s="2" t="inlineStr"/>
    </row>
    <row r="8">
      <c r="A8" s="5" t="inlineStr">
        <is>
          <t>Foot width F</t>
        </is>
      </c>
      <c r="B8" s="6" t="n">
        <v>22</v>
      </c>
      <c r="C8" s="5" t="inlineStr">
        <is>
          <t>mm</t>
        </is>
      </c>
      <c r="D8" s="2" t="inlineStr"/>
    </row>
    <row r="9">
      <c r="A9" s="5" t="inlineStr">
        <is>
          <t>Lip length Lp</t>
        </is>
      </c>
      <c r="B9" s="6" t="n">
        <v>10</v>
      </c>
      <c r="C9" s="5" t="inlineStr">
        <is>
          <t>mm</t>
        </is>
      </c>
      <c r="D9" s="2" t="inlineStr"/>
    </row>
    <row r="10">
      <c r="A10" s="5" t="inlineStr">
        <is>
          <t>Lip angle β (from horizontal)</t>
        </is>
      </c>
      <c r="B10" s="6" t="n">
        <v>45</v>
      </c>
      <c r="C10" s="5" t="inlineStr">
        <is>
          <t>deg</t>
        </is>
      </c>
      <c r="D10" s="2" t="inlineStr"/>
    </row>
    <row r="11">
      <c r="A11" s="5" t="inlineStr">
        <is>
          <t>Thickness t</t>
        </is>
      </c>
      <c r="B11" s="6" t="n">
        <v>0.9</v>
      </c>
      <c r="C11" s="5" t="inlineStr">
        <is>
          <t>mm</t>
        </is>
      </c>
      <c r="D11" s="2" t="inlineStr"/>
    </row>
    <row r="12">
      <c r="A12" s="5" t="inlineStr">
        <is>
          <t>Yield Fy</t>
        </is>
      </c>
      <c r="B12" s="6" t="n">
        <v>550</v>
      </c>
      <c r="C12" s="5" t="inlineStr">
        <is>
          <t>MPa</t>
        </is>
      </c>
      <c r="D12" s="2" t="inlineStr"/>
    </row>
    <row r="13">
      <c r="A13" s="5" t="inlineStr">
        <is>
          <t>Modulus E</t>
        </is>
      </c>
      <c r="B13" s="6" t="n">
        <v>200000</v>
      </c>
      <c r="C13" s="5" t="inlineStr">
        <is>
          <t>MPa</t>
        </is>
      </c>
      <c r="D13" s="2" t="inlineStr"/>
    </row>
    <row r="14">
      <c r="A14" s="5" t="inlineStr">
        <is>
          <t>Span L</t>
        </is>
      </c>
      <c r="B14" s="6" t="n">
        <v>3.1</v>
      </c>
      <c r="C14" s="5" t="inlineStr">
        <is>
          <t>m</t>
        </is>
      </c>
      <c r="D14" s="2" t="inlineStr"/>
    </row>
    <row r="15">
      <c r="A15" s="5" t="inlineStr">
        <is>
          <t>Support condition</t>
        </is>
      </c>
      <c r="B15" s="6" t="inlineStr">
        <is>
          <t>Simply supported</t>
        </is>
      </c>
      <c r="C15" s="5" t="inlineStr"/>
      <c r="D15" s="2" t="inlineStr">
        <is>
          <t>dropdown</t>
        </is>
      </c>
    </row>
    <row r="16">
      <c r="A16" s="5" t="inlineStr">
        <is>
          <t>Unbraced length Lb</t>
        </is>
      </c>
      <c r="B16" s="6" t="n">
        <v>3100</v>
      </c>
      <c r="C16" s="5" t="inlineStr">
        <is>
          <t>mm</t>
        </is>
      </c>
      <c r="D16" s="2" t="inlineStr"/>
    </row>
    <row r="17">
      <c r="A17" s="5" t="inlineStr">
        <is>
          <t>Moment gradient Cb</t>
        </is>
      </c>
      <c r="B17" s="6" t="n">
        <v>1</v>
      </c>
      <c r="C17" s="5" t="inlineStr"/>
      <c r="D17" s="2" t="inlineStr">
        <is>
          <t>Cb=1 with axial (Cl.6.7)</t>
        </is>
      </c>
    </row>
    <row r="18">
      <c r="A18" s="5" t="inlineStr">
        <is>
          <t>Bearing length N</t>
        </is>
      </c>
      <c r="B18" s="6" t="n">
        <v>50</v>
      </c>
      <c r="C18" s="5" t="inlineStr">
        <is>
          <t>mm</t>
        </is>
      </c>
      <c r="D18" s="2" t="inlineStr"/>
    </row>
    <row r="19">
      <c r="A19" s="5" t="inlineStr">
        <is>
          <t>Inner bend radius r</t>
        </is>
      </c>
      <c r="B19" s="6" t="n">
        <v>2</v>
      </c>
      <c r="C19" s="5" t="inlineStr">
        <is>
          <t>mm</t>
        </is>
      </c>
      <c r="D19" s="2" t="inlineStr"/>
    </row>
    <row r="20">
      <c r="A20" s="5" t="inlineStr">
        <is>
          <t>Deflection limit divisor (L/x)</t>
        </is>
      </c>
      <c r="B20" s="6" t="n">
        <v>180</v>
      </c>
      <c r="C20" s="5" t="inlineStr"/>
      <c r="D20" s="2" t="inlineStr"/>
    </row>
    <row r="21">
      <c r="A21" s="5" t="inlineStr">
        <is>
          <t>w net uplift (working)</t>
        </is>
      </c>
      <c r="B21" s="6" t="n">
        <v>0.981</v>
      </c>
      <c r="C21" s="5" t="inlineStr">
        <is>
          <t>kN/m</t>
        </is>
      </c>
      <c r="D21" s="2" t="inlineStr">
        <is>
          <t>WL−DL, service</t>
        </is>
      </c>
    </row>
    <row r="22">
      <c r="A22" s="5" t="inlineStr">
        <is>
          <t>w gravity (working)</t>
        </is>
      </c>
      <c r="B22" s="6" t="n">
        <v>0.147</v>
      </c>
      <c r="C22" s="5" t="inlineStr">
        <is>
          <t>kN/m</t>
        </is>
      </c>
      <c r="D22" s="2" t="inlineStr"/>
    </row>
    <row r="23">
      <c r="A23" s="5" t="inlineStr">
        <is>
          <t>w weak-axis</t>
        </is>
      </c>
      <c r="B23" s="6" t="n">
        <v>0</v>
      </c>
      <c r="C23" s="5" t="inlineStr">
        <is>
          <t>kN/m</t>
        </is>
      </c>
      <c r="D23" s="2" t="inlineStr"/>
    </row>
    <row r="24">
      <c r="A24" s="5" t="inlineStr">
        <is>
          <t>Wind/seismic combo? (1=yes → +⅓ allowable)</t>
        </is>
      </c>
      <c r="B24" s="6" t="n">
        <v>1</v>
      </c>
      <c r="C24" s="5" t="inlineStr"/>
      <c r="D24" s="2" t="inlineStr">
        <is>
          <t>IS 800/875 WSM practice</t>
        </is>
      </c>
    </row>
    <row r="26">
      <c r="A26" s="3" t="inlineStr">
        <is>
          <t>2. DERIVED GEOMETRY</t>
        </is>
      </c>
      <c r="B26" s="4" t="n"/>
      <c r="C26" s="4" t="n"/>
      <c r="D26" s="4" t="n"/>
      <c r="E26" s="4" t="n"/>
    </row>
    <row r="27">
      <c r="A27" s="5" t="inlineStr">
        <is>
          <t>half = B1/2</t>
        </is>
      </c>
      <c r="B27" s="7">
        <f>B5/2</f>
        <v/>
      </c>
      <c r="C27" s="5" t="inlineStr">
        <is>
          <t>mm</t>
        </is>
      </c>
      <c r="D27" s="2" t="inlineStr"/>
    </row>
    <row r="28">
      <c r="A28" s="5" t="inlineStr">
        <is>
          <t>run = H/tan(θ)</t>
        </is>
      </c>
      <c r="B28" s="7">
        <f>B6/TAN(RADIANS(B7))</f>
        <v/>
      </c>
      <c r="C28" s="5" t="inlineStr">
        <is>
          <t>mm</t>
        </is>
      </c>
      <c r="D28" s="2" t="inlineStr"/>
    </row>
    <row r="29">
      <c r="A29" s="5" t="inlineStr">
        <is>
          <t>wb = half+run (web base x)</t>
        </is>
      </c>
      <c r="B29" s="7">
        <f>B27+B28</f>
        <v/>
      </c>
      <c r="C29" s="5" t="inlineStr">
        <is>
          <t>mm</t>
        </is>
      </c>
      <c r="D29" s="2" t="inlineStr"/>
    </row>
    <row r="30">
      <c r="A30" s="5" t="inlineStr">
        <is>
          <t>fe = wb+F (foot end x)</t>
        </is>
      </c>
      <c r="B30" s="7">
        <f>B29+B8</f>
        <v/>
      </c>
      <c r="C30" s="5" t="inlineStr">
        <is>
          <t>mm</t>
        </is>
      </c>
      <c r="D30" s="2" t="inlineStr"/>
    </row>
    <row r="31">
      <c r="A31" s="5" t="inlineStr">
        <is>
          <t>lip dx = Lp·cosβ</t>
        </is>
      </c>
      <c r="B31" s="7">
        <f>B9*COS(RADIANS(B10))</f>
        <v/>
      </c>
      <c r="C31" s="5" t="inlineStr">
        <is>
          <t>mm</t>
        </is>
      </c>
      <c r="D31" s="2" t="inlineStr"/>
    </row>
    <row r="32">
      <c r="A32" s="5" t="inlineStr">
        <is>
          <t>lip dy = Lp·sinβ</t>
        </is>
      </c>
      <c r="B32" s="7">
        <f>B9*SIN(RADIANS(B10))</f>
        <v/>
      </c>
      <c r="C32" s="5" t="inlineStr">
        <is>
          <t>mm</t>
        </is>
      </c>
      <c r="D32" s="2" t="inlineStr"/>
    </row>
    <row r="33">
      <c r="A33" s="5" t="inlineStr">
        <is>
          <t>lt = fe+lipdx (lip tip x)</t>
        </is>
      </c>
      <c r="B33" s="7">
        <f>B30+B31</f>
        <v/>
      </c>
      <c r="C33" s="5" t="inlineStr">
        <is>
          <t>mm</t>
        </is>
      </c>
      <c r="D33" s="2" t="inlineStr"/>
    </row>
    <row r="34">
      <c r="A34" s="5" t="inlineStr">
        <is>
          <t>web slant = √(run²+H²)</t>
        </is>
      </c>
      <c r="B34" s="7">
        <f>SQRT(B28^2+B6^2)</f>
        <v/>
      </c>
      <c r="C34" s="5" t="inlineStr">
        <is>
          <t>mm</t>
        </is>
      </c>
      <c r="D34" s="2" t="inlineStr"/>
    </row>
    <row r="36">
      <c r="A36" s="3" t="inlineStr">
        <is>
          <t>3. SECTION PROPERTY ENGINE — thin-walled polyline (7 segments)</t>
        </is>
      </c>
      <c r="B36" s="4" t="n"/>
      <c r="C36" s="4" t="n"/>
      <c r="D36" s="4" t="n"/>
      <c r="E36" s="4" t="n"/>
    </row>
    <row r="37">
      <c r="A37" s="8" t="inlineStr">
        <is>
          <t>seg</t>
        </is>
      </c>
      <c r="B37" s="8" t="inlineStr">
        <is>
          <t>x1</t>
        </is>
      </c>
      <c r="C37" s="8" t="inlineStr">
        <is>
          <t>y1</t>
        </is>
      </c>
      <c r="D37" s="8" t="inlineStr">
        <is>
          <t>x2</t>
        </is>
      </c>
      <c r="E37" s="8" t="inlineStr">
        <is>
          <t>y2</t>
        </is>
      </c>
      <c r="F37" s="8" t="inlineStr">
        <is>
          <t>L</t>
        </is>
      </c>
      <c r="G37" s="8" t="inlineStr">
        <is>
          <t>A=L·t</t>
        </is>
      </c>
      <c r="H37" s="8" t="inlineStr">
        <is>
          <t>xm</t>
        </is>
      </c>
      <c r="I37" s="8" t="inlineStr">
        <is>
          <t>ym</t>
        </is>
      </c>
      <c r="J37" s="8" t="inlineStr">
        <is>
          <t>φ (rad)</t>
        </is>
      </c>
      <c r="K37" s="8" t="inlineStr">
        <is>
          <t>A·ym</t>
        </is>
      </c>
      <c r="L37" s="8" t="inlineStr">
        <is>
          <t>Ix,own</t>
        </is>
      </c>
      <c r="M37" s="8" t="inlineStr">
        <is>
          <t>Iy,own</t>
        </is>
      </c>
      <c r="N37" s="8" t="inlineStr">
        <is>
          <t>A·(ym-ȳ)²</t>
        </is>
      </c>
      <c r="O37" s="8" t="inlineStr">
        <is>
          <t>Ixx contrib</t>
        </is>
      </c>
      <c r="P37" s="8" t="inlineStr">
        <is>
          <t>A·xm²</t>
        </is>
      </c>
      <c r="Q37" s="8" t="inlineStr">
        <is>
          <t>Iyy contrib(x=0)</t>
        </is>
      </c>
    </row>
    <row r="38">
      <c r="A38" s="9" t="n">
        <v>0</v>
      </c>
      <c r="B38">
        <f>-$B$33</f>
        <v/>
      </c>
      <c r="C38">
        <f>$B$32</f>
        <v/>
      </c>
      <c r="D38">
        <f>-$B$30</f>
        <v/>
      </c>
      <c r="E38">
        <f>0</f>
        <v/>
      </c>
      <c r="F38">
        <f>SQRT((D38-B38)^2+(E38-C38)^2)</f>
        <v/>
      </c>
      <c r="G38">
        <f>F38*$B$11</f>
        <v/>
      </c>
      <c r="H38">
        <f>(B38+D38)/2</f>
        <v/>
      </c>
      <c r="I38">
        <f>(C38+E38)/2</f>
        <v/>
      </c>
      <c r="J38">
        <f>ATAN2(D38-B38,E38-C38)</f>
        <v/>
      </c>
      <c r="K38">
        <f>G38*I38</f>
        <v/>
      </c>
      <c r="L38">
        <f>($B$11*F38^3/12)*SIN(J38)^2+(F38*$B$11^3/12)*COS(J38)^2</f>
        <v/>
      </c>
      <c r="M38">
        <f>($B$11*F38^3/12)*COS(J38)^2+(F38*$B$11^3/12)*SIN(J38)^2</f>
        <v/>
      </c>
      <c r="N38">
        <f>G38*(I38-$B$48)^2</f>
        <v/>
      </c>
      <c r="O38">
        <f>L38+N38</f>
        <v/>
      </c>
      <c r="P38">
        <f>G38*H38^2</f>
        <v/>
      </c>
      <c r="Q38">
        <f>M38+P38</f>
        <v/>
      </c>
    </row>
    <row r="39">
      <c r="A39" s="9" t="n">
        <v>1</v>
      </c>
      <c r="B39">
        <f>-$B$30</f>
        <v/>
      </c>
      <c r="C39">
        <f>0</f>
        <v/>
      </c>
      <c r="D39">
        <f>-$B$29</f>
        <v/>
      </c>
      <c r="E39">
        <f>0</f>
        <v/>
      </c>
      <c r="F39">
        <f>SQRT((D39-B39)^2+(E39-C39)^2)</f>
        <v/>
      </c>
      <c r="G39">
        <f>F39*$B$11</f>
        <v/>
      </c>
      <c r="H39">
        <f>(B39+D39)/2</f>
        <v/>
      </c>
      <c r="I39">
        <f>(C39+E39)/2</f>
        <v/>
      </c>
      <c r="J39">
        <f>ATAN2(D39-B39,E39-C39)</f>
        <v/>
      </c>
      <c r="K39">
        <f>G39*I39</f>
        <v/>
      </c>
      <c r="L39">
        <f>($B$11*F39^3/12)*SIN(J39)^2+(F39*$B$11^3/12)*COS(J39)^2</f>
        <v/>
      </c>
      <c r="M39">
        <f>($B$11*F39^3/12)*COS(J39)^2+(F39*$B$11^3/12)*SIN(J39)^2</f>
        <v/>
      </c>
      <c r="N39">
        <f>G39*(I39-$B$48)^2</f>
        <v/>
      </c>
      <c r="O39">
        <f>L39+N39</f>
        <v/>
      </c>
      <c r="P39">
        <f>G39*H39^2</f>
        <v/>
      </c>
      <c r="Q39">
        <f>M39+P39</f>
        <v/>
      </c>
    </row>
    <row r="40">
      <c r="A40" s="9" t="n">
        <v>2</v>
      </c>
      <c r="B40">
        <f>-$B$29</f>
        <v/>
      </c>
      <c r="C40">
        <f>0</f>
        <v/>
      </c>
      <c r="D40">
        <f>-$B$27</f>
        <v/>
      </c>
      <c r="E40">
        <f>$B$6</f>
        <v/>
      </c>
      <c r="F40">
        <f>SQRT((D40-B40)^2+(E40-C40)^2)</f>
        <v/>
      </c>
      <c r="G40">
        <f>F40*$B$11</f>
        <v/>
      </c>
      <c r="H40">
        <f>(B40+D40)/2</f>
        <v/>
      </c>
      <c r="I40">
        <f>(C40+E40)/2</f>
        <v/>
      </c>
      <c r="J40">
        <f>ATAN2(D40-B40,E40-C40)</f>
        <v/>
      </c>
      <c r="K40">
        <f>G40*I40</f>
        <v/>
      </c>
      <c r="L40">
        <f>($B$11*F40^3/12)*SIN(J40)^2+(F40*$B$11^3/12)*COS(J40)^2</f>
        <v/>
      </c>
      <c r="M40">
        <f>($B$11*F40^3/12)*COS(J40)^2+(F40*$B$11^3/12)*SIN(J40)^2</f>
        <v/>
      </c>
      <c r="N40">
        <f>G40*(I40-$B$48)^2</f>
        <v/>
      </c>
      <c r="O40">
        <f>L40+N40</f>
        <v/>
      </c>
      <c r="P40">
        <f>G40*H40^2</f>
        <v/>
      </c>
      <c r="Q40">
        <f>M40+P40</f>
        <v/>
      </c>
    </row>
    <row r="41">
      <c r="A41" s="9" t="n">
        <v>3</v>
      </c>
      <c r="B41">
        <f>-$B$27</f>
        <v/>
      </c>
      <c r="C41">
        <f>$B$6</f>
        <v/>
      </c>
      <c r="D41">
        <f>$B$27</f>
        <v/>
      </c>
      <c r="E41">
        <f>$B$6</f>
        <v/>
      </c>
      <c r="F41">
        <f>SQRT((D41-B41)^2+(E41-C41)^2)</f>
        <v/>
      </c>
      <c r="G41">
        <f>F41*$B$11</f>
        <v/>
      </c>
      <c r="H41">
        <f>(B41+D41)/2</f>
        <v/>
      </c>
      <c r="I41">
        <f>(C41+E41)/2</f>
        <v/>
      </c>
      <c r="J41">
        <f>ATAN2(D41-B41,E41-C41)</f>
        <v/>
      </c>
      <c r="K41">
        <f>G41*I41</f>
        <v/>
      </c>
      <c r="L41">
        <f>($B$11*F41^3/12)*SIN(J41)^2+(F41*$B$11^3/12)*COS(J41)^2</f>
        <v/>
      </c>
      <c r="M41">
        <f>($B$11*F41^3/12)*COS(J41)^2+(F41*$B$11^3/12)*SIN(J41)^2</f>
        <v/>
      </c>
      <c r="N41">
        <f>G41*(I41-$B$48)^2</f>
        <v/>
      </c>
      <c r="O41">
        <f>L41+N41</f>
        <v/>
      </c>
      <c r="P41">
        <f>G41*H41^2</f>
        <v/>
      </c>
      <c r="Q41">
        <f>M41+P41</f>
        <v/>
      </c>
    </row>
    <row r="42">
      <c r="A42" s="9" t="n">
        <v>4</v>
      </c>
      <c r="B42">
        <f>$B$27</f>
        <v/>
      </c>
      <c r="C42">
        <f>$B$6</f>
        <v/>
      </c>
      <c r="D42">
        <f>$B$29</f>
        <v/>
      </c>
      <c r="E42">
        <f>0</f>
        <v/>
      </c>
      <c r="F42">
        <f>SQRT((D42-B42)^2+(E42-C42)^2)</f>
        <v/>
      </c>
      <c r="G42">
        <f>F42*$B$11</f>
        <v/>
      </c>
      <c r="H42">
        <f>(B42+D42)/2</f>
        <v/>
      </c>
      <c r="I42">
        <f>(C42+E42)/2</f>
        <v/>
      </c>
      <c r="J42">
        <f>ATAN2(D42-B42,E42-C42)</f>
        <v/>
      </c>
      <c r="K42">
        <f>G42*I42</f>
        <v/>
      </c>
      <c r="L42">
        <f>($B$11*F42^3/12)*SIN(J42)^2+(F42*$B$11^3/12)*COS(J42)^2</f>
        <v/>
      </c>
      <c r="M42">
        <f>($B$11*F42^3/12)*COS(J42)^2+(F42*$B$11^3/12)*SIN(J42)^2</f>
        <v/>
      </c>
      <c r="N42">
        <f>G42*(I42-$B$48)^2</f>
        <v/>
      </c>
      <c r="O42">
        <f>L42+N42</f>
        <v/>
      </c>
      <c r="P42">
        <f>G42*H42^2</f>
        <v/>
      </c>
      <c r="Q42">
        <f>M42+P42</f>
        <v/>
      </c>
    </row>
    <row r="43">
      <c r="A43" s="9" t="n">
        <v>5</v>
      </c>
      <c r="B43">
        <f>$B$29</f>
        <v/>
      </c>
      <c r="C43">
        <f>0</f>
        <v/>
      </c>
      <c r="D43">
        <f>$B$30</f>
        <v/>
      </c>
      <c r="E43">
        <f>0</f>
        <v/>
      </c>
      <c r="F43">
        <f>SQRT((D43-B43)^2+(E43-C43)^2)</f>
        <v/>
      </c>
      <c r="G43">
        <f>F43*$B$11</f>
        <v/>
      </c>
      <c r="H43">
        <f>(B43+D43)/2</f>
        <v/>
      </c>
      <c r="I43">
        <f>(C43+E43)/2</f>
        <v/>
      </c>
      <c r="J43">
        <f>ATAN2(D43-B43,E43-C43)</f>
        <v/>
      </c>
      <c r="K43">
        <f>G43*I43</f>
        <v/>
      </c>
      <c r="L43">
        <f>($B$11*F43^3/12)*SIN(J43)^2+(F43*$B$11^3/12)*COS(J43)^2</f>
        <v/>
      </c>
      <c r="M43">
        <f>($B$11*F43^3/12)*COS(J43)^2+(F43*$B$11^3/12)*SIN(J43)^2</f>
        <v/>
      </c>
      <c r="N43">
        <f>G43*(I43-$B$48)^2</f>
        <v/>
      </c>
      <c r="O43">
        <f>L43+N43</f>
        <v/>
      </c>
      <c r="P43">
        <f>G43*H43^2</f>
        <v/>
      </c>
      <c r="Q43">
        <f>M43+P43</f>
        <v/>
      </c>
    </row>
    <row r="44">
      <c r="A44" s="9" t="n">
        <v>6</v>
      </c>
      <c r="B44">
        <f>$B$30</f>
        <v/>
      </c>
      <c r="C44">
        <f>0</f>
        <v/>
      </c>
      <c r="D44">
        <f>$B$33</f>
        <v/>
      </c>
      <c r="E44">
        <f>$B$32</f>
        <v/>
      </c>
      <c r="F44">
        <f>SQRT((D44-B44)^2+(E44-C44)^2)</f>
        <v/>
      </c>
      <c r="G44">
        <f>F44*$B$11</f>
        <v/>
      </c>
      <c r="H44">
        <f>(B44+D44)/2</f>
        <v/>
      </c>
      <c r="I44">
        <f>(C44+E44)/2</f>
        <v/>
      </c>
      <c r="J44">
        <f>ATAN2(D44-B44,E44-C44)</f>
        <v/>
      </c>
      <c r="K44">
        <f>G44*I44</f>
        <v/>
      </c>
      <c r="L44">
        <f>($B$11*F44^3/12)*SIN(J44)^2+(F44*$B$11^3/12)*COS(J44)^2</f>
        <v/>
      </c>
      <c r="M44">
        <f>($B$11*F44^3/12)*COS(J44)^2+(F44*$B$11^3/12)*SIN(J44)^2</f>
        <v/>
      </c>
      <c r="N44">
        <f>G44*(I44-$B$48)^2</f>
        <v/>
      </c>
      <c r="O44">
        <f>L44+N44</f>
        <v/>
      </c>
      <c r="P44">
        <f>G44*H44^2</f>
        <v/>
      </c>
      <c r="Q44">
        <f>M44+P44</f>
        <v/>
      </c>
    </row>
    <row r="46">
      <c r="A46" s="3" t="inlineStr">
        <is>
          <t>4. SECTION PROPERTIES (gross)</t>
        </is>
      </c>
      <c r="B46" s="4" t="n"/>
      <c r="C46" s="4" t="n"/>
      <c r="D46" s="4" t="n"/>
      <c r="E46" s="4" t="n"/>
    </row>
    <row r="47">
      <c r="A47" s="5" t="inlineStr">
        <is>
          <t>Area A</t>
        </is>
      </c>
      <c r="B47" s="7">
        <f>SUM(G38:G44)</f>
        <v/>
      </c>
      <c r="C47" s="5" t="inlineStr">
        <is>
          <t>mm²</t>
        </is>
      </c>
      <c r="D47" s="2" t="inlineStr">
        <is>
          <t>target 224.0</t>
        </is>
      </c>
    </row>
    <row r="48">
      <c r="A48" s="5" t="inlineStr">
        <is>
          <t>ȳ (from foot line)</t>
        </is>
      </c>
      <c r="B48" s="7">
        <f>SUM(K38:K44)/B47</f>
        <v/>
      </c>
      <c r="C48" s="5" t="inlineStr">
        <is>
          <t>mm</t>
        </is>
      </c>
      <c r="D48" s="2" t="inlineStr">
        <is>
          <t>target 31.91</t>
        </is>
      </c>
    </row>
    <row r="49">
      <c r="A49" s="5" t="inlineStr">
        <is>
          <t>Ixx</t>
        </is>
      </c>
      <c r="B49" s="7">
        <f>SUM(O38:O44)</f>
        <v/>
      </c>
      <c r="C49" s="5" t="inlineStr">
        <is>
          <t>mm⁴</t>
        </is>
      </c>
      <c r="D49" s="2" t="inlineStr">
        <is>
          <t>target 161637</t>
        </is>
      </c>
    </row>
    <row r="50">
      <c r="A50" s="5" t="inlineStr">
        <is>
          <t>Iyy</t>
        </is>
      </c>
      <c r="B50" s="7">
        <f>SUM(Q38:Q44)</f>
        <v/>
      </c>
      <c r="C50" s="5" t="inlineStr">
        <is>
          <t>mm⁴</t>
        </is>
      </c>
      <c r="D50" s="2" t="inlineStr">
        <is>
          <t>target 295330 (xc=0 by symmetry)</t>
        </is>
      </c>
    </row>
    <row r="51">
      <c r="A51" s="5" t="inlineStr">
        <is>
          <t>y_top = H − ȳ</t>
        </is>
      </c>
      <c r="B51" s="7">
        <f>B6-B48</f>
        <v/>
      </c>
      <c r="C51" s="5" t="inlineStr">
        <is>
          <t>mm</t>
        </is>
      </c>
      <c r="D51" s="2" t="inlineStr"/>
    </row>
    <row r="52">
      <c r="A52" s="5" t="inlineStr">
        <is>
          <t>y_bot = ȳ (foot line lowest)</t>
        </is>
      </c>
      <c r="B52" s="7">
        <f>B48</f>
        <v/>
      </c>
      <c r="C52" s="5" t="inlineStr">
        <is>
          <t>mm</t>
        </is>
      </c>
      <c r="D52" s="2" t="inlineStr"/>
    </row>
    <row r="53">
      <c r="A53" s="5" t="inlineStr">
        <is>
          <t>Ztop = Ixx/y_top</t>
        </is>
      </c>
      <c r="B53" s="7">
        <f>B49/B51</f>
        <v/>
      </c>
      <c r="C53" s="5" t="inlineStr">
        <is>
          <t>mm³</t>
        </is>
      </c>
      <c r="D53" s="2" t="inlineStr">
        <is>
          <t>target 4244</t>
        </is>
      </c>
    </row>
    <row r="54">
      <c r="A54" s="5" t="inlineStr">
        <is>
          <t>Zbot = Ixx/y_bot</t>
        </is>
      </c>
      <c r="B54" s="7">
        <f>B49/B52</f>
        <v/>
      </c>
      <c r="C54" s="5" t="inlineStr">
        <is>
          <t>mm³</t>
        </is>
      </c>
      <c r="D54" s="2" t="inlineStr">
        <is>
          <t>target 5065</t>
        </is>
      </c>
    </row>
    <row r="55">
      <c r="A55" s="5" t="inlineStr">
        <is>
          <t>Zweak = Iyy/lt</t>
        </is>
      </c>
      <c r="B55" s="7">
        <f>B50/B33</f>
        <v/>
      </c>
      <c r="C55" s="5" t="inlineStr">
        <is>
          <t>mm³</t>
        </is>
      </c>
      <c r="D55" s="2" t="inlineStr"/>
    </row>
    <row r="56">
      <c r="A56" s="5" t="inlineStr">
        <is>
          <t>J = Σ(L·t³)/3</t>
        </is>
      </c>
      <c r="B56" s="7">
        <f>SUM(F38:F44)*B11^3/3</f>
        <v/>
      </c>
      <c r="C56" s="5" t="inlineStr">
        <is>
          <t>mm⁴</t>
        </is>
      </c>
      <c r="D56" s="2" t="inlineStr"/>
    </row>
    <row r="57">
      <c r="A57" s="5" t="inlineStr">
        <is>
          <t>Acf (feet+lips: segs 0,1,5,6)</t>
        </is>
      </c>
      <c r="B57" s="7">
        <f>G38+G39+G43+G44</f>
        <v/>
      </c>
      <c r="C57" s="5" t="inlineStr">
        <is>
          <t>mm²</t>
        </is>
      </c>
      <c r="D57" s="2" t="inlineStr"/>
    </row>
    <row r="58">
      <c r="A58" s="5" t="inlineStr">
        <is>
          <t>Iycf about x=0</t>
        </is>
      </c>
      <c r="B58" s="7">
        <f>Q38+Q39+Q43+Q44</f>
        <v/>
      </c>
      <c r="C58" s="5" t="inlineStr">
        <is>
          <t>mm⁴</t>
        </is>
      </c>
      <c r="D58" s="2" t="inlineStr"/>
    </row>
    <row r="59">
      <c r="A59" s="5" t="inlineStr">
        <is>
          <t>r_ycf = √(Iycf/Acf)</t>
        </is>
      </c>
      <c r="B59" s="7">
        <f>SQRT(B58/B57)</f>
        <v/>
      </c>
      <c r="C59" s="5" t="inlineStr">
        <is>
          <t>mm</t>
        </is>
      </c>
      <c r="D59" s="2" t="inlineStr">
        <is>
          <t>target 55.0</t>
        </is>
      </c>
    </row>
    <row r="61">
      <c r="A61" s="3" t="inlineStr">
        <is>
          <t>5. MOMENTS &amp; BENDING — Cl.6.1.1</t>
        </is>
      </c>
      <c r="B61" s="4" t="n"/>
      <c r="C61" s="4" t="n"/>
      <c r="D61" s="4" t="n"/>
      <c r="E61" s="4" t="n"/>
    </row>
    <row r="62">
      <c r="A62" s="5" t="inlineStr">
        <is>
          <t>M uplift = w·L²/8</t>
        </is>
      </c>
      <c r="B62" s="7">
        <f>B21*B14^2/8</f>
        <v/>
      </c>
      <c r="C62" s="5" t="inlineStr">
        <is>
          <t>kN·m</t>
        </is>
      </c>
      <c r="D62" s="2" t="inlineStr">
        <is>
          <t>wL²/8: exact 2-span support M, conservative 3+</t>
        </is>
      </c>
    </row>
    <row r="63">
      <c r="A63" s="5" t="inlineStr">
        <is>
          <t>M gravity = w·L²/8</t>
        </is>
      </c>
      <c r="B63" s="7">
        <f>B22*B14^2/8</f>
        <v/>
      </c>
      <c r="C63" s="5" t="inlineStr">
        <is>
          <t>kN·m</t>
        </is>
      </c>
      <c r="D63" s="2" t="inlineStr"/>
    </row>
    <row r="64">
      <c r="A64" s="5" t="inlineStr">
        <is>
          <t>M weak = w·L²/8</t>
        </is>
      </c>
      <c r="B64" s="7">
        <f>B23*B14^2/8</f>
        <v/>
      </c>
      <c r="C64" s="5" t="inlineStr">
        <is>
          <t>kN·m</t>
        </is>
      </c>
      <c r="D64" s="2" t="inlineStr"/>
    </row>
    <row r="65">
      <c r="A65" s="5" t="inlineStr">
        <is>
          <t>Fb = 0.6·Fy</t>
        </is>
      </c>
      <c r="B65" s="7">
        <f>0.6*B12</f>
        <v/>
      </c>
      <c r="C65" s="5" t="inlineStr">
        <is>
          <t>MPa</t>
        </is>
      </c>
      <c r="D65" s="2" t="inlineStr">
        <is>
          <t>Cl.6.1.1</t>
        </is>
      </c>
    </row>
    <row r="66">
      <c r="A66" s="5" t="inlineStr">
        <is>
          <t xml:space="preserve">Fb(+⅓ if wind) </t>
        </is>
      </c>
      <c r="B66" s="7">
        <f>B65*IF(B24=1,4/3,1)</f>
        <v/>
      </c>
      <c r="C66" s="5" t="inlineStr">
        <is>
          <t>MPa</t>
        </is>
      </c>
      <c r="D66" s="2" t="inlineStr">
        <is>
          <t>IS 800/875 WSM</t>
        </is>
      </c>
    </row>
    <row r="67">
      <c r="A67" s="5" t="inlineStr">
        <is>
          <t>f_top (tension, uplift) = M/Ztop</t>
        </is>
      </c>
      <c r="B67" s="7">
        <f>B62*10^6/B53</f>
        <v/>
      </c>
      <c r="C67" s="5" t="inlineStr">
        <is>
          <t>MPa</t>
        </is>
      </c>
      <c r="D67" s="2" t="inlineStr"/>
    </row>
    <row r="68">
      <c r="A68" s="5" t="inlineStr">
        <is>
          <t>f_bot (compression, uplift) = M/Zbot</t>
        </is>
      </c>
      <c r="B68" s="7">
        <f>B62*10^6/B54</f>
        <v/>
      </c>
      <c r="C68" s="5" t="inlineStr">
        <is>
          <t>MPa</t>
        </is>
      </c>
      <c r="D68" s="2" t="inlineStr"/>
    </row>
    <row r="69">
      <c r="A69" s="5" t="inlineStr">
        <is>
          <t>f_strong = max(f_top, f_bot)</t>
        </is>
      </c>
      <c r="B69" s="7">
        <f>MAX(B67,B68)</f>
        <v/>
      </c>
      <c r="C69" s="5" t="inlineStr">
        <is>
          <t>MPa</t>
        </is>
      </c>
      <c r="D69" s="2" t="inlineStr"/>
    </row>
    <row r="70">
      <c r="A70" s="5" t="inlineStr">
        <is>
          <t>f_weak = M_weak/Zweak</t>
        </is>
      </c>
      <c r="B70" s="7">
        <f>B64*10^6/B55</f>
        <v/>
      </c>
      <c r="C70" s="5" t="inlineStr">
        <is>
          <t>MPa</t>
        </is>
      </c>
      <c r="D70" s="2" t="inlineStr"/>
    </row>
    <row r="71">
      <c r="A71" s="5" t="inlineStr">
        <is>
          <t>UR bending (biaxial) = (f_strong+f_weak)/Fb(+⅓)</t>
        </is>
      </c>
      <c r="B71" s="7">
        <f>(B69+B70)/B66</f>
        <v/>
      </c>
      <c r="C71" s="5" t="inlineStr"/>
      <c r="D71" s="2" t="inlineStr">
        <is>
          <t>Cl.6.1.1</t>
        </is>
      </c>
    </row>
    <row r="72">
      <c r="A72" s="5" t="inlineStr">
        <is>
          <t>f_top gravity = M_grav/Ztop</t>
        </is>
      </c>
      <c r="B72" s="7">
        <f>B63*10^6/B53</f>
        <v/>
      </c>
      <c r="C72" s="5" t="inlineStr">
        <is>
          <t>MPa</t>
        </is>
      </c>
      <c r="D72" s="2" t="inlineStr"/>
    </row>
    <row r="73">
      <c r="A73" s="5" t="inlineStr">
        <is>
          <t>UR gravity bending = f/Fb</t>
        </is>
      </c>
      <c r="B73" s="7">
        <f>B72/B65</f>
        <v/>
      </c>
      <c r="C73" s="5" t="inlineStr"/>
      <c r="D73" s="2" t="inlineStr">
        <is>
          <t>no +⅓ (DL+LL)</t>
        </is>
      </c>
    </row>
    <row r="75">
      <c r="A75" s="3" t="inlineStr">
        <is>
          <t>6. EFFECTIVE WIDTH — Cl.5.2.1.1 (AISI unified Winter λ-form)</t>
        </is>
      </c>
      <c r="B75" s="4" t="n"/>
      <c r="C75" s="4" t="n"/>
      <c r="D75" s="4" t="n"/>
      <c r="E75" s="4" t="n"/>
    </row>
    <row r="76">
      <c r="A76" s="5" t="inlineStr">
        <is>
          <t>f for eff. width = max(f_bot,1)</t>
        </is>
      </c>
      <c r="B76" s="7">
        <f>MAX(B68,1)</f>
        <v/>
      </c>
      <c r="C76" s="5" t="inlineStr">
        <is>
          <t>MPa</t>
        </is>
      </c>
      <c r="D76" s="2" t="inlineStr"/>
    </row>
    <row r="77">
      <c r="A77" s="5" t="inlineStr">
        <is>
          <t>λ foot (k=4) =(1.052/√4)(F/t)√(f/E)</t>
        </is>
      </c>
      <c r="B77" s="7">
        <f>(1.052/SQRT(4))*(B8/B11)*SQRT(B76/B13)</f>
        <v/>
      </c>
      <c r="C77" s="5" t="inlineStr"/>
      <c r="D77" s="2" t="inlineStr">
        <is>
          <t>≤0.673 fully eff.</t>
        </is>
      </c>
    </row>
    <row r="78">
      <c r="A78" s="5" t="inlineStr">
        <is>
          <t>λ lip (k=0.43)</t>
        </is>
      </c>
      <c r="B78" s="7">
        <f>(1.052/SQRT(0.43))*(B9/B11)*SQRT(B76/B13)</f>
        <v/>
      </c>
      <c r="C78" s="5" t="inlineStr"/>
      <c r="D78" s="2" t="inlineStr"/>
    </row>
    <row r="79">
      <c r="A79" s="5" t="inlineStr">
        <is>
          <t>λ web (k=24, slant)</t>
        </is>
      </c>
      <c r="B79" s="7">
        <f>(1.052/SQRT(24))*(B34/B11)*SQRT(B76/B13)</f>
        <v/>
      </c>
      <c r="C79" s="5" t="inlineStr"/>
      <c r="D79" s="2" t="inlineStr"/>
    </row>
    <row r="80">
      <c r="A80" s="5" t="inlineStr">
        <is>
          <t>ρ foot</t>
        </is>
      </c>
      <c r="B80" s="7">
        <f>IF(B77&lt;=0.673,1,(1-0.22/B77)/B77)</f>
        <v/>
      </c>
      <c r="C80" s="5" t="inlineStr"/>
      <c r="D80" s="2" t="inlineStr"/>
    </row>
    <row r="81">
      <c r="A81" s="5" t="inlineStr">
        <is>
          <t>ρ lip</t>
        </is>
      </c>
      <c r="B81" s="7">
        <f>IF(B78&lt;=0.673,1,(1-0.22/B78)/B78)</f>
        <v/>
      </c>
      <c r="C81" s="5" t="inlineStr"/>
      <c r="D81" s="2" t="inlineStr"/>
    </row>
    <row r="82">
      <c r="A82" s="5" t="inlineStr">
        <is>
          <t>ρ web</t>
        </is>
      </c>
      <c r="B82" s="7">
        <f>IF(B79&lt;=0.673,1,(1-0.22/B79)/B79)</f>
        <v/>
      </c>
      <c r="C82" s="5" t="inlineStr"/>
      <c r="D82" s="2" t="inlineStr"/>
    </row>
    <row r="83">
      <c r="A83" s="5" t="inlineStr">
        <is>
          <t>UR eff.width = max(λ)/0.673</t>
        </is>
      </c>
      <c r="B83" s="7">
        <f>MAX(B77:B79)/0.673</f>
        <v/>
      </c>
      <c r="C83" s="5" t="inlineStr"/>
      <c r="D83" s="2" t="inlineStr"/>
    </row>
    <row r="85">
      <c r="A85" s="3" t="inlineStr">
        <is>
          <t>7. EDGE STIFFENER — Cl.5.2.2.1</t>
        </is>
      </c>
      <c r="B85" s="4" t="n"/>
      <c r="C85" s="4" t="n"/>
      <c r="D85" s="4" t="n"/>
      <c r="E85" s="4" t="n"/>
    </row>
    <row r="86">
      <c r="A86" s="5" t="inlineStr">
        <is>
          <t>Is = Lp³·t·sin²β/12</t>
        </is>
      </c>
      <c r="B86" s="7">
        <f>B9^3*B11*SIN(RADIANS(B10))^2/12</f>
        <v/>
      </c>
      <c r="C86" s="5" t="inlineStr">
        <is>
          <t>mm⁴</t>
        </is>
      </c>
      <c r="D86" s="2" t="inlineStr"/>
    </row>
    <row r="87">
      <c r="A87" s="5" t="inlineStr">
        <is>
          <t>Fy (ksi)</t>
        </is>
      </c>
      <c r="B87" s="7">
        <f>B12/6.895</f>
        <v/>
      </c>
      <c r="C87" s="5" t="inlineStr">
        <is>
          <t>ksi</t>
        </is>
      </c>
      <c r="D87" s="2" t="inlineStr"/>
    </row>
    <row r="88">
      <c r="A88" s="5" t="inlineStr">
        <is>
          <t>Imin = max(1.83t⁴√((F/t)²−4000/Fy_ksi), 9.2t⁴)</t>
        </is>
      </c>
      <c r="B88" s="7">
        <f>MAX(1.83*B11^4*SQRT(MAX((B8/B11)^2-4000/B87,0)),9.2*B11^4)</f>
        <v/>
      </c>
      <c r="C88" s="5" t="inlineStr">
        <is>
          <t>mm⁴</t>
        </is>
      </c>
      <c r="D88" s="2" t="inlineStr"/>
    </row>
    <row r="89">
      <c r="A89" s="5" t="inlineStr">
        <is>
          <t>UR stiffener = Imin/Is</t>
        </is>
      </c>
      <c r="B89" s="7">
        <f>B88/B86</f>
        <v/>
      </c>
      <c r="C89" s="5" t="inlineStr"/>
      <c r="D89" s="2" t="inlineStr">
        <is>
          <t>&lt;1 → adequate</t>
        </is>
      </c>
    </row>
    <row r="91">
      <c r="A91" s="3" t="inlineStr">
        <is>
          <t>8. LTB — Cl.6.3 (two methods, governing = min)</t>
        </is>
      </c>
      <c r="B91" s="4" t="n"/>
      <c r="C91" s="4" t="n"/>
      <c r="D91" s="4" t="n"/>
      <c r="E91" s="4" t="n"/>
    </row>
    <row r="92">
      <c r="A92" s="5" t="inlineStr">
        <is>
          <t>(a) Fe = Cb·π²E/(Lb/rycf)²</t>
        </is>
      </c>
      <c r="B92" s="7">
        <f>B17*PI()^2*B13/(B16/B59)^2</f>
        <v/>
      </c>
      <c r="C92" s="5" t="inlineStr">
        <is>
          <t>MPa</t>
        </is>
      </c>
      <c r="D92" s="2" t="inlineStr"/>
    </row>
    <row r="93">
      <c r="A93" s="5" t="inlineStr">
        <is>
          <t>(a) Fb: ≥2.78Fy→0.6Fy; ≥0.56Fy→(10Fy/9)(1−Fy/5.04Fe); else Fe/1.67</t>
        </is>
      </c>
      <c r="B93" s="7">
        <f>MIN(0.6*B12,IF(B92&gt;=2.78*B12,0.6*B12,IF(B92&gt;=0.56*B12,(10*B12/9)*(1-B12/(5.04*B92)),B92/1.67)))</f>
        <v/>
      </c>
      <c r="C93" s="5" t="inlineStr">
        <is>
          <t>MPa</t>
        </is>
      </c>
      <c r="D93" s="2" t="inlineStr">
        <is>
          <t>compression-flange method</t>
        </is>
      </c>
    </row>
    <row r="94">
      <c r="A94" s="5" t="inlineStr">
        <is>
          <t>(b) Sxc = Zbot (Ix/dist to comp. fibre)</t>
        </is>
      </c>
      <c r="B94" s="7">
        <f>B54</f>
        <v/>
      </c>
      <c r="C94" s="5" t="inlineStr">
        <is>
          <t>mm³</t>
        </is>
      </c>
      <c r="D94" s="2" t="inlineStr">
        <is>
          <t>literal Cl.6.3</t>
        </is>
      </c>
    </row>
    <row r="95">
      <c r="A95" s="5" t="inlineStr">
        <is>
          <t>(b) Iyc = feet+lips + 2×web below NA</t>
        </is>
      </c>
      <c r="B95" s="7">
        <f>B58+2*(($B$11*((B48/B6)*B34)^3/12)*(B28/B34)^2+(((B48/B6)*B34)*$B$11^3/12)*(B6/B34)^2+((B48/B6)*B34)*$B$11*((B29+(B29-B28*(B48/B6)))/2)^2)</f>
        <v/>
      </c>
      <c r="C95" s="5" t="inlineStr">
        <is>
          <t>mm⁴</t>
        </is>
      </c>
      <c r="D95" s="2" t="inlineStr">
        <is>
          <t>comp. portion about gravity axis ∥ web</t>
        </is>
      </c>
    </row>
    <row r="96">
      <c r="A96" s="5" t="inlineStr">
        <is>
          <t>(b) X = Lb²·Sxc/(H·Iyc)</t>
        </is>
      </c>
      <c r="B96" s="7">
        <f>B16^2*B94/(B6*B95)</f>
        <v/>
      </c>
      <c r="C96" s="5" t="inlineStr"/>
      <c r="D96" s="2" t="inlineStr"/>
    </row>
    <row r="97">
      <c r="A97" s="5" t="inlineStr">
        <is>
          <t>(b) B = 0.36π²ECb/Fy</t>
        </is>
      </c>
      <c r="B97" s="7">
        <f>0.36*PI()^2*B13*B17/B12</f>
        <v/>
      </c>
      <c r="C97" s="5" t="inlineStr"/>
      <c r="D97" s="2" t="inlineStr"/>
    </row>
    <row r="98">
      <c r="A98" s="5" t="inlineStr">
        <is>
          <t>(b) C = 1.8π²ECb/Fy</t>
        </is>
      </c>
      <c r="B98" s="7">
        <f>1.8*PI()^2*B13*B17/B12</f>
        <v/>
      </c>
      <c r="C98" s="5" t="inlineStr"/>
      <c r="D98" s="2" t="inlineStr"/>
    </row>
    <row r="99">
      <c r="A99" s="5" t="inlineStr">
        <is>
          <t>(b) Fb: X≤B→0.6Fy; B&lt;X&lt;C→⅔Fy−Fy²X/(5.4π²ECb); X≥C→0.6π²ECb/X</t>
        </is>
      </c>
      <c r="B99" s="7">
        <f>MIN(0.6*B12,IF(B96&lt;=B97,0.6*B12,IF(B96&lt;B98,(2/3)*B12-(B12^2/(5.4*PI()^2*B13*B17))*B96,0.6*PI()^2*B13*B17/B96)))</f>
        <v/>
      </c>
      <c r="C99" s="5" t="inlineStr">
        <is>
          <t>MPa</t>
        </is>
      </c>
      <c r="D99" s="2" t="inlineStr"/>
    </row>
    <row r="100">
      <c r="A100" s="5" t="inlineStr">
        <is>
          <t>Fb_LTB = min(a,b)</t>
        </is>
      </c>
      <c r="B100" s="7">
        <f>MIN(B93,B99)</f>
        <v/>
      </c>
      <c r="C100" s="5" t="inlineStr">
        <is>
          <t>MPa</t>
        </is>
      </c>
      <c r="D100" s="2" t="inlineStr"/>
    </row>
    <row r="101">
      <c r="A101" s="5" t="inlineStr">
        <is>
          <t>Fb_LTB(+⅓ if wind)</t>
        </is>
      </c>
      <c r="B101" s="7">
        <f>B100*IF(B24=1,4/3,1)</f>
        <v/>
      </c>
      <c r="C101" s="5" t="inlineStr">
        <is>
          <t>MPa</t>
        </is>
      </c>
      <c r="D101" s="2" t="inlineStr"/>
    </row>
    <row r="102">
      <c r="A102" s="5" t="inlineStr">
        <is>
          <t>UR LTB = f_bot/Fb_LTB(+⅓)</t>
        </is>
      </c>
      <c r="B102" s="7">
        <f>B68/B101</f>
        <v/>
      </c>
      <c r="C102" s="5" t="inlineStr"/>
      <c r="D102" s="2" t="inlineStr"/>
    </row>
    <row r="104">
      <c r="A104" s="3" t="inlineStr">
        <is>
          <t>9. SHEAR — Cl.6.4.1</t>
        </is>
      </c>
      <c r="B104" s="4" t="n"/>
      <c r="C104" s="4" t="n"/>
      <c r="D104" s="4" t="n"/>
      <c r="E104" s="4" t="n"/>
    </row>
    <row r="105">
      <c r="A105" s="5" t="inlineStr">
        <is>
          <t>h/t (web slant)</t>
        </is>
      </c>
      <c r="B105" s="7">
        <f>B34/B11</f>
        <v/>
      </c>
      <c r="C105" s="5" t="inlineStr"/>
      <c r="D105" s="2" t="inlineStr"/>
    </row>
    <row r="106">
      <c r="A106" s="5" t="inlineStr">
        <is>
          <t>h/t limit = 4590/√Fy (kgf/cm²)</t>
        </is>
      </c>
      <c r="B106" s="7">
        <f>4590/SQRT(B115)</f>
        <v/>
      </c>
      <c r="C106" s="5" t="inlineStr"/>
      <c r="D106" s="2" t="inlineStr"/>
    </row>
    <row r="107">
      <c r="A107" s="5" t="inlineStr">
        <is>
          <t>Fv (kgf/cm²): ≤lim→min(0.4Fy, 1275√Fy/(h/t)); else 5.85e6/(h/t)²</t>
        </is>
      </c>
      <c r="B107" s="7">
        <f>IF(B105&lt;=B106,MIN(0.4*B115,1275*SQRT(B115)/B105),5850000/B105^2)</f>
        <v/>
      </c>
      <c r="C107" s="5" t="inlineStr">
        <is>
          <t>kgf/cm²</t>
        </is>
      </c>
      <c r="D107" s="2" t="inlineStr">
        <is>
          <t>literal Cl.6.4.1</t>
        </is>
      </c>
    </row>
    <row r="108">
      <c r="A108" s="5" t="inlineStr">
        <is>
          <t>Fv (MPa)</t>
        </is>
      </c>
      <c r="B108" s="7">
        <f>B107*0.0980665</f>
        <v/>
      </c>
      <c r="C108" s="5" t="inlineStr">
        <is>
          <t>MPa</t>
        </is>
      </c>
      <c r="D108" s="2" t="inlineStr"/>
    </row>
    <row r="109">
      <c r="A109" s="5" t="inlineStr">
        <is>
          <t>Vcap = 2·Fv·H·t</t>
        </is>
      </c>
      <c r="B109" s="7">
        <f>2*B108*B6*B11/1000</f>
        <v/>
      </c>
      <c r="C109" s="5" t="inlineStr">
        <is>
          <t>kN</t>
        </is>
      </c>
      <c r="D109" s="2" t="inlineStr"/>
    </row>
    <row r="110">
      <c r="A110" s="5" t="inlineStr">
        <is>
          <t>V = max(w)·L/2</t>
        </is>
      </c>
      <c r="B110" s="7">
        <f>MAX(ABS(B21),B22)*B14/2</f>
        <v/>
      </c>
      <c r="C110" s="5" t="inlineStr">
        <is>
          <t>kN</t>
        </is>
      </c>
      <c r="D110" s="2" t="inlineStr"/>
    </row>
    <row r="111">
      <c r="A111" s="5" t="inlineStr">
        <is>
          <t>UR shear = V/Vcap</t>
        </is>
      </c>
      <c r="B111" s="7">
        <f>B110/B109</f>
        <v/>
      </c>
      <c r="C111" s="5" t="inlineStr"/>
      <c r="D111" s="2" t="inlineStr"/>
    </row>
    <row r="113">
      <c r="A113" s="3" t="inlineStr">
        <is>
          <t>10. WEB CRIPPLING — Cl.6.5 (literal MKS: t in cm, Fy in kgf/cm²)</t>
        </is>
      </c>
      <c r="B113" s="4" t="n"/>
      <c r="C113" s="4" t="n"/>
      <c r="D113" s="4" t="n"/>
      <c r="E113" s="4" t="n"/>
    </row>
    <row r="114">
      <c r="A114" s="5" t="inlineStr">
        <is>
          <t>t (cm)</t>
        </is>
      </c>
      <c r="B114" s="7">
        <f>B11/10</f>
        <v/>
      </c>
      <c r="C114" s="5" t="inlineStr">
        <is>
          <t>cm</t>
        </is>
      </c>
      <c r="D114" s="2" t="inlineStr"/>
    </row>
    <row r="115">
      <c r="A115" s="5" t="inlineStr">
        <is>
          <t>Fy (kgf/cm²)</t>
        </is>
      </c>
      <c r="B115" s="7">
        <f>B12/0.0980665</f>
        <v/>
      </c>
      <c r="C115" s="5" t="inlineStr">
        <is>
          <t>kgf/cm²</t>
        </is>
      </c>
      <c r="D115" s="2" t="inlineStr"/>
    </row>
    <row r="116">
      <c r="A116" s="5" t="inlineStr">
        <is>
          <t>k = Fy/2320</t>
        </is>
      </c>
      <c r="B116" s="7">
        <f>B115/2320</f>
        <v/>
      </c>
      <c r="C116" s="5" t="inlineStr"/>
      <c r="D116" s="2" t="inlineStr"/>
    </row>
    <row r="117">
      <c r="A117" s="5" t="inlineStr">
        <is>
          <t>stress end k(1.33−0.33k); int k(1.22−0.22k)</t>
        </is>
      </c>
      <c r="B117" s="7">
        <f>B116*(1.33-0.33*B116)</f>
        <v/>
      </c>
      <c r="C117" s="5" t="inlineStr"/>
      <c r="D117" s="2" t="inlineStr">
        <is>
          <t>end term</t>
        </is>
      </c>
      <c r="E117" s="7">
        <f>B116*(1.22-0.22*B116)</f>
        <v/>
      </c>
      <c r="F117" s="2" t="inlineStr">
        <is>
          <t>int term (E117)</t>
        </is>
      </c>
    </row>
    <row r="118">
      <c r="A118" s="5" t="inlineStr">
        <is>
          <t>r-factor end = if r≤t:1 else 1.15−0.15r/t</t>
        </is>
      </c>
      <c r="B118" s="7">
        <f>IF(B19&lt;=B11,1,1.15-0.15*B19/B11)</f>
        <v/>
      </c>
      <c r="C118" s="5" t="inlineStr"/>
      <c r="D118" s="2" t="inlineStr"/>
    </row>
    <row r="119">
      <c r="A119" s="5" t="inlineStr">
        <is>
          <t>r-factor int = if r≤t:1 else 1.06−0.06r/t</t>
        </is>
      </c>
      <c r="B119" s="7">
        <f>IF(B19&lt;=B11,1,1.06-0.06*B19/B11)</f>
        <v/>
      </c>
      <c r="C119" s="5" t="inlineStr"/>
      <c r="D119" s="2" t="inlineStr"/>
    </row>
    <row r="120">
      <c r="A120" s="5" t="inlineStr">
        <is>
          <t>P_end = 70t²[98+4.2(N/t)−0.022(N/t)(h/t)−0.011(h/t)]·st·rf ×2 webs</t>
        </is>
      </c>
      <c r="B120" s="7">
        <f>MAX(0,70*B114^2*(98+4.2*(B18/B11)-0.022*(B18/B11)*(B105)-0.011*B105)*B117*B118)*2*9.80665/1000</f>
        <v/>
      </c>
      <c r="C120" s="5" t="inlineStr">
        <is>
          <t>kN</t>
        </is>
      </c>
      <c r="D120" s="2" t="inlineStr"/>
    </row>
    <row r="121">
      <c r="A121" s="5" t="inlineStr">
        <is>
          <t>P_int = 70t²[305+2.3(N/t)−0.009(N/t)(h/t)−0.5(h/t)]·st·rf ×2 webs</t>
        </is>
      </c>
      <c r="B121" s="7">
        <f>MAX(0,70*B114^2*(305+2.3*(B18/B11)-0.009*(B18/B11)*B105-0.5*B105)*E117*B119)*2*9.80665/1000</f>
        <v/>
      </c>
      <c r="C121" s="5" t="inlineStr">
        <is>
          <t>kN</t>
        </is>
      </c>
      <c r="D121" s="2" t="inlineStr"/>
    </row>
    <row r="122">
      <c r="A122" s="5" t="inlineStr">
        <is>
          <t>R_end (gravity) coeff·w·L</t>
        </is>
      </c>
      <c r="B122" s="7">
        <f>IF(B15="2-span continuous",0.375,IF(B15="3+ span continuous",0.4,0.5))*B22*B14</f>
        <v/>
      </c>
      <c r="C122" s="5" t="inlineStr">
        <is>
          <t>kN</t>
        </is>
      </c>
      <c r="D122" s="2" t="inlineStr"/>
    </row>
    <row r="123">
      <c r="A123" s="5" t="inlineStr">
        <is>
          <t>R_int (gravity)</t>
        </is>
      </c>
      <c r="B123" s="7">
        <f>IF(B15="2-span continuous",1.25,IF(B15="3+ span continuous",1.1,0))*B22*B14</f>
        <v/>
      </c>
      <c r="C123" s="5" t="inlineStr">
        <is>
          <t>kN</t>
        </is>
      </c>
      <c r="D123" s="2" t="inlineStr"/>
    </row>
    <row r="124">
      <c r="A124" s="5" t="inlineStr">
        <is>
          <t>UR web crippling = max(Rend/Pend, Rint/Pint)</t>
        </is>
      </c>
      <c r="B124" s="7">
        <f>MAX(B122/B120,IF(B123&gt;0,B123/B121,0))</f>
        <v/>
      </c>
      <c r="C124" s="5" t="inlineStr"/>
      <c r="D124" s="2" t="inlineStr">
        <is>
          <t>uplift reaction → bolt check, not web</t>
        </is>
      </c>
    </row>
    <row r="126">
      <c r="A126" s="3" t="inlineStr">
        <is>
          <t>11. DEFLECTION — L/x limit</t>
        </is>
      </c>
      <c r="B126" s="4" t="n"/>
      <c r="C126" s="4" t="n"/>
      <c r="D126" s="4" t="n"/>
      <c r="E126" s="4" t="n"/>
    </row>
    <row r="127">
      <c r="A127" s="5" t="inlineStr">
        <is>
          <t>k coeff: ss 5/384; 2-span 0.00542; 3+ 0.0069</t>
        </is>
      </c>
      <c r="B127" s="7">
        <f>IF(B15="2-span continuous",0.00542,IF(B15="3+ span continuous",0.0069,5/384))</f>
        <v/>
      </c>
      <c r="C127" s="5" t="inlineStr"/>
      <c r="D127" s="2" t="inlineStr"/>
    </row>
    <row r="128">
      <c r="A128" s="5" t="inlineStr">
        <is>
          <t>δ strong = k·w·(1000L)⁴/(E·Ixx)</t>
        </is>
      </c>
      <c r="B128" s="7">
        <f>B127*ABS(B21)*(B14*1000)^4/(B13*B49)</f>
        <v/>
      </c>
      <c r="C128" s="5" t="inlineStr">
        <is>
          <t>mm</t>
        </is>
      </c>
      <c r="D128" s="2" t="inlineStr">
        <is>
          <t>1 kN/m = 1 N/mm</t>
        </is>
      </c>
    </row>
    <row r="129">
      <c r="A129" s="5" t="inlineStr">
        <is>
          <t>δ weak = k·w_weak·(1000L)⁴/(E·Iyy)</t>
        </is>
      </c>
      <c r="B129" s="7">
        <f>B127*ABS(B23)*(B14*1000)^4/(B13*B50)</f>
        <v/>
      </c>
      <c r="C129" s="5" t="inlineStr">
        <is>
          <t>mm</t>
        </is>
      </c>
      <c r="D129" s="2" t="inlineStr"/>
    </row>
    <row r="130">
      <c r="A130" s="5" t="inlineStr">
        <is>
          <t>δ resultant = √(δs²+δw²)</t>
        </is>
      </c>
      <c r="B130" s="7">
        <f>SQRT(B128^2+B129^2)</f>
        <v/>
      </c>
      <c r="C130" s="5" t="inlineStr">
        <is>
          <t>mm</t>
        </is>
      </c>
      <c r="D130" s="2" t="inlineStr"/>
    </row>
    <row r="131">
      <c r="A131" s="5" t="inlineStr">
        <is>
          <t>δ allowable = 1000L/divisor</t>
        </is>
      </c>
      <c r="B131" s="7">
        <f>B14*1000/B20</f>
        <v/>
      </c>
      <c r="C131" s="5" t="inlineStr">
        <is>
          <t>mm</t>
        </is>
      </c>
      <c r="D131" s="2" t="inlineStr"/>
    </row>
    <row r="132">
      <c r="A132" s="5" t="inlineStr">
        <is>
          <t>UR deflection = δ/δ_allow</t>
        </is>
      </c>
      <c r="B132" s="7">
        <f>B130/B131</f>
        <v/>
      </c>
      <c r="C132" s="5" t="inlineStr"/>
      <c r="D132" s="2" t="inlineStr"/>
    </row>
    <row r="134">
      <c r="A134" s="3" t="inlineStr">
        <is>
          <t>12. WEB BENDING Cl.6.4.2 / COMBINED Cl.6.4.3 / FLAT-WIDTH Cl.5.2.4</t>
        </is>
      </c>
      <c r="B134" s="4" t="n"/>
      <c r="C134" s="4" t="n"/>
      <c r="D134" s="4" t="n"/>
      <c r="E134" s="4" t="n"/>
    </row>
    <row r="135">
      <c r="A135" s="5" t="inlineStr">
        <is>
          <t>Fbw = min(36.56e6/(h/t)² kgf/cm², 0.6Fy)</t>
        </is>
      </c>
      <c r="B135" s="7">
        <f>MIN(36560000/B105^2*0.0980665,0.6*B12)</f>
        <v/>
      </c>
      <c r="C135" s="5" t="inlineStr">
        <is>
          <t>MPa</t>
        </is>
      </c>
      <c r="D135" s="2" t="inlineStr">
        <is>
          <t>Cl.6.4.2</t>
        </is>
      </c>
    </row>
    <row r="136">
      <c r="A136" s="5" t="inlineStr">
        <is>
          <t>Fbw(+⅓ if wind)</t>
        </is>
      </c>
      <c r="B136" s="7">
        <f>B135*IF(B24=1,4/3,1)</f>
        <v/>
      </c>
      <c r="C136" s="5" t="inlineStr">
        <is>
          <t>MPa</t>
        </is>
      </c>
      <c r="D136" s="2" t="inlineStr"/>
    </row>
    <row r="137">
      <c r="A137" s="5" t="inlineStr">
        <is>
          <t>UR web bending = f_strong/Fbw</t>
        </is>
      </c>
      <c r="B137" s="7">
        <f>B69/B136</f>
        <v/>
      </c>
      <c r="C137" s="5" t="inlineStr"/>
      <c r="D137" s="2" t="inlineStr"/>
    </row>
    <row r="138">
      <c r="A138" s="5" t="inlineStr">
        <is>
          <t>fv actual = V/(2·H·t)</t>
        </is>
      </c>
      <c r="B138" s="7">
        <f>B110*1000/(2*B6*B11)</f>
        <v/>
      </c>
      <c r="C138" s="5" t="inlineStr">
        <is>
          <t>MPa</t>
        </is>
      </c>
      <c r="D138" s="2" t="inlineStr"/>
    </row>
    <row r="139">
      <c r="A139" s="5" t="inlineStr">
        <is>
          <t>UR combined = √((f/Fbw)²+(fv/Fv)²)</t>
        </is>
      </c>
      <c r="B139" s="7">
        <f>SQRT((B69/B136)^2+(B138/(B108*IF(B24=1,4/3,1)))^2)</f>
        <v/>
      </c>
      <c r="C139" s="5" t="inlineStr"/>
      <c r="D139" s="2" t="inlineStr">
        <is>
          <t>Cl.6.4.3</t>
        </is>
      </c>
    </row>
    <row r="140">
      <c r="A140" s="5" t="inlineStr">
        <is>
          <t>UR flange w/t ≤ 60</t>
        </is>
      </c>
      <c r="B140" s="7">
        <f>(B8/B11)/60</f>
        <v/>
      </c>
      <c r="C140" s="5" t="inlineStr"/>
      <c r="D140" s="2" t="inlineStr">
        <is>
          <t>Cl.5.2.4</t>
        </is>
      </c>
    </row>
    <row r="141">
      <c r="A141" s="5" t="inlineStr">
        <is>
          <t>UR web h/t ≤ 150</t>
        </is>
      </c>
      <c r="B141" s="7">
        <f>B105/150</f>
        <v/>
      </c>
      <c r="C141" s="5" t="inlineStr"/>
      <c r="D141" s="2" t="inlineStr">
        <is>
          <t>Cl.5.2.4</t>
        </is>
      </c>
    </row>
    <row r="143">
      <c r="A143" s="3" t="inlineStr">
        <is>
          <t>13. SUMMARY OF CHECKS</t>
        </is>
      </c>
      <c r="B143" s="4" t="n"/>
      <c r="C143" s="4" t="n"/>
      <c r="D143" s="4" t="n"/>
      <c r="E143" s="4" t="n"/>
    </row>
    <row r="144">
      <c r="A144" s="10" t="inlineStr">
        <is>
          <t>Check</t>
        </is>
      </c>
      <c r="B144" s="10" t="inlineStr">
        <is>
          <t>UR</t>
        </is>
      </c>
      <c r="C144" s="10" t="inlineStr">
        <is>
          <t>Status</t>
        </is>
      </c>
      <c r="D144" s="10" t="inlineStr">
        <is>
          <t>Clause</t>
        </is>
      </c>
    </row>
    <row r="145">
      <c r="A145" s="5" t="inlineStr">
        <is>
          <t>Effective width (max λ/0.673)</t>
        </is>
      </c>
      <c r="B145" s="11">
        <f>B83</f>
        <v/>
      </c>
      <c r="C145" s="12">
        <f>IF(B83&gt;=1,"FAIL",IF(B83&gt;=0.9,"MARGINAL","PASS"))</f>
        <v/>
      </c>
      <c r="D145" s="2" t="inlineStr">
        <is>
          <t>Cl.5.2.1.1</t>
        </is>
      </c>
    </row>
    <row r="146">
      <c r="A146" s="5" t="inlineStr">
        <is>
          <t>Edge stiffener Imin/Is</t>
        </is>
      </c>
      <c r="B146" s="11">
        <f>B89</f>
        <v/>
      </c>
      <c r="C146" s="12">
        <f>IF(B89&gt;=1,"FAIL",IF(B89&gt;=0.9,"MARGINAL","PASS"))</f>
        <v/>
      </c>
      <c r="D146" s="2" t="inlineStr">
        <is>
          <t>Cl.5.2.2.1</t>
        </is>
      </c>
    </row>
    <row r="147">
      <c r="A147" s="5" t="inlineStr">
        <is>
          <t>Bending biaxial (uplift)</t>
        </is>
      </c>
      <c r="B147" s="11">
        <f>B71</f>
        <v/>
      </c>
      <c r="C147" s="12">
        <f>IF(B71&gt;=1,"FAIL",IF(B71&gt;=0.9,"MARGINAL","PASS"))</f>
        <v/>
      </c>
      <c r="D147" s="2" t="inlineStr">
        <is>
          <t>Cl.6.1.1</t>
        </is>
      </c>
    </row>
    <row r="148">
      <c r="A148" s="5" t="inlineStr">
        <is>
          <t>Bending gravity</t>
        </is>
      </c>
      <c r="B148" s="11">
        <f>B73</f>
        <v/>
      </c>
      <c r="C148" s="12">
        <f>IF(B73&gt;=1,"FAIL",IF(B73&gt;=0.9,"MARGINAL","PASS"))</f>
        <v/>
      </c>
      <c r="D148" s="2" t="inlineStr">
        <is>
          <t>Cl.6.1.1</t>
        </is>
      </c>
    </row>
    <row r="149">
      <c r="A149" s="5" t="inlineStr">
        <is>
          <t>LTB (governing of 2 methods)</t>
        </is>
      </c>
      <c r="B149" s="11">
        <f>B102</f>
        <v/>
      </c>
      <c r="C149" s="12">
        <f>IF(B102&gt;=1,"FAIL",IF(B102&gt;=0.9,"MARGINAL","PASS"))</f>
        <v/>
      </c>
      <c r="D149" s="2" t="inlineStr">
        <is>
          <t>Cl.6.3</t>
        </is>
      </c>
    </row>
    <row r="150">
      <c r="A150" s="5" t="inlineStr">
        <is>
          <t>Shear</t>
        </is>
      </c>
      <c r="B150" s="11">
        <f>B111</f>
        <v/>
      </c>
      <c r="C150" s="12">
        <f>IF(B111&gt;=1,"FAIL",IF(B111&gt;=0.9,"MARGINAL","PASS"))</f>
        <v/>
      </c>
      <c r="D150" s="2" t="inlineStr">
        <is>
          <t>Cl.6.4.1</t>
        </is>
      </c>
    </row>
    <row r="151">
      <c r="A151" s="5" t="inlineStr">
        <is>
          <t>Web crippling (gravity bearing)</t>
        </is>
      </c>
      <c r="B151" s="11">
        <f>B124</f>
        <v/>
      </c>
      <c r="C151" s="12">
        <f>IF(B124&gt;=1,"FAIL",IF(B124&gt;=0.9,"MARGINAL","PASS"))</f>
        <v/>
      </c>
      <c r="D151" s="2" t="inlineStr">
        <is>
          <t>Cl.6.5</t>
        </is>
      </c>
    </row>
    <row r="152">
      <c r="A152" s="5" t="inlineStr">
        <is>
          <t>Web bending</t>
        </is>
      </c>
      <c r="B152" s="11">
        <f>B137</f>
        <v/>
      </c>
      <c r="C152" s="12">
        <f>IF(B137&gt;=1,"FAIL",IF(B137&gt;=0.9,"MARGINAL","PASS"))</f>
        <v/>
      </c>
      <c r="D152" s="2" t="inlineStr">
        <is>
          <t>Cl.6.4.2</t>
        </is>
      </c>
    </row>
    <row r="153">
      <c r="A153" s="5" t="inlineStr">
        <is>
          <t>Combined bending + shear</t>
        </is>
      </c>
      <c r="B153" s="11">
        <f>B139</f>
        <v/>
      </c>
      <c r="C153" s="12">
        <f>IF(B139&gt;=1,"FAIL",IF(B139&gt;=0.9,"MARGINAL","PASS"))</f>
        <v/>
      </c>
      <c r="D153" s="2" t="inlineStr">
        <is>
          <t>Cl.6.4.3</t>
        </is>
      </c>
    </row>
    <row r="154">
      <c r="A154" s="5" t="inlineStr">
        <is>
          <t>Flange w/t ≤ 60</t>
        </is>
      </c>
      <c r="B154" s="11">
        <f>B140</f>
        <v/>
      </c>
      <c r="C154" s="12">
        <f>IF(B140&gt;=1,"FAIL",IF(B140&gt;=0.9,"MARGINAL","PASS"))</f>
        <v/>
      </c>
      <c r="D154" s="2" t="inlineStr">
        <is>
          <t>Cl.5.2.4</t>
        </is>
      </c>
    </row>
    <row r="155">
      <c r="A155" s="5" t="inlineStr">
        <is>
          <t>Web h/t ≤ 150</t>
        </is>
      </c>
      <c r="B155" s="11">
        <f>B141</f>
        <v/>
      </c>
      <c r="C155" s="12">
        <f>IF(B141&gt;=1,"FAIL",IF(B141&gt;=0.9,"MARGINAL","PASS"))</f>
        <v/>
      </c>
      <c r="D155" s="2" t="inlineStr">
        <is>
          <t>Cl.5.2.4</t>
        </is>
      </c>
    </row>
    <row r="156">
      <c r="A156" s="5" t="inlineStr">
        <is>
          <t>Deflection</t>
        </is>
      </c>
      <c r="B156" s="11">
        <f>B132</f>
        <v/>
      </c>
      <c r="C156" s="12">
        <f>IF(B132&gt;=1,"FAIL",IF(B132&gt;=0.9,"MARGINAL","PASS"))</f>
        <v/>
      </c>
      <c r="D156" s="2" t="inlineStr">
        <is>
          <t>serviceability</t>
        </is>
      </c>
    </row>
    <row r="157">
      <c r="A157" s="13" t="inlineStr">
        <is>
          <t>OVERALL (max UR)</t>
        </is>
      </c>
      <c r="B157" s="14">
        <f>MAX(B83,B89,B71,B73,B102,B111,B124,B137,B139,B140,B141,B132)</f>
        <v/>
      </c>
      <c r="C157" s="15">
        <f>IF(B157&gt;=1,"FAIL",IF(B157&gt;=0.9,"MARGINAL","PASS"))</f>
        <v/>
      </c>
    </row>
  </sheetData>
  <dataValidations count="1">
    <dataValidation sqref="B15" showDropDown="0" showInputMessage="0" showErrorMessage="0" allowBlank="0" type="list">
      <formula1>"Simply supported,2-span continuous,3+ span continuous"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2026-07-04T14:11:01Z</dcterms:created>
  <dcterms:modified xsi:type="dcterms:W3CDTF">2026-07-04T14:11:01Z</dcterms:modified>
</cp:coreProperties>
</file>