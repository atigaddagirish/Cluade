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w net uplift (working)</t>
        </is>
      </c>
      <c r="B21" s="6" t="n">
        <v>0.981</v>
      </c>
      <c r="C21" s="5" t="inlineStr">
        <is>
          <t>kN/m</t>
        </is>
      </c>
      <c r="D21" s="2" t="inlineStr">
        <is>
          <t>WL−DL, service</t>
        </is>
      </c>
    </row>
    <row r="22">
      <c r="A22" s="5" t="inlineStr">
        <is>
          <t>w gravity (working)</t>
        </is>
      </c>
      <c r="B22" s="6" t="n">
        <v>0.147</v>
      </c>
      <c r="C22" s="5" t="inlineStr">
        <is>
          <t>kN/m</t>
        </is>
      </c>
      <c r="D22" s="2" t="inlineStr"/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Wind/seismic combo? (1=yes → +⅓ allowable)</t>
        </is>
      </c>
      <c r="B24" s="6" t="n">
        <v>1</v>
      </c>
      <c r="C24" s="5" t="inlineStr"/>
      <c r="D24" s="2" t="inlineStr">
        <is>
          <t>IS 800/875 WSM practice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B21*B14^2/8</f>
        <v/>
      </c>
      <c r="C62" s="5" t="inlineStr">
        <is>
          <t>kN·m</t>
        </is>
      </c>
      <c r="D62" s="2" t="inlineStr">
        <is>
          <t>wL²/8: exact 2-span support M, conservative 3+</t>
        </is>
      </c>
    </row>
    <row r="63">
      <c r="A63" s="5" t="inlineStr">
        <is>
          <t>M gravity = w·L²/8</t>
        </is>
      </c>
      <c r="B63" s="7">
        <f>B22*B14^2/8</f>
        <v/>
      </c>
      <c r="C63" s="5" t="inlineStr">
        <is>
          <t>kN·m</t>
        </is>
      </c>
      <c r="D63" s="2" t="inlineStr"/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 xml:space="preserve">Fb(+⅓ if wind) </t>
        </is>
      </c>
      <c r="B66" s="7">
        <f>B65*IF(B24=1,4/3,1)</f>
        <v/>
      </c>
      <c r="C66" s="5" t="inlineStr">
        <is>
          <t>MPa</t>
        </is>
      </c>
      <c r="D66" s="2" t="inlineStr">
        <is>
          <t>IS 800/875 WSM</t>
        </is>
      </c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(f_strong+f_weak)/Fb(+⅓)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(comp.)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Iycf (comp. portion)</t>
        </is>
      </c>
      <c r="B95" s="7">
        <f>B58</f>
        <v/>
      </c>
      <c r="C95" s="5" t="inlineStr">
        <is>
          <t>mm⁴</t>
        </is>
      </c>
      <c r="D95" s="2" t="inlineStr"/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Fb_LTB(+⅓ if wind)</t>
        </is>
      </c>
      <c r="B101" s="7">
        <f>B100*IF(B24=1,4/3,1)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f_bot/Fb_LTB(+⅓)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limit1 = 2.89√(E/Fy)</t>
        </is>
      </c>
      <c r="B106" s="7">
        <f>2.89*SQRT(B13/B12)</f>
        <v/>
      </c>
      <c r="C106" s="5" t="inlineStr"/>
      <c r="D106" s="2" t="inlineStr"/>
    </row>
    <row r="107">
      <c r="A107" s="5" t="inlineStr">
        <is>
          <t>limit2 = 5.34√(E/Fy)</t>
        </is>
      </c>
      <c r="B107" s="7">
        <f>5.34*SQRT(B13/B12)</f>
        <v/>
      </c>
      <c r="C107" s="5" t="inlineStr"/>
      <c r="D107" s="2" t="inlineStr"/>
    </row>
    <row r="108">
      <c r="A108" s="5" t="inlineStr">
        <is>
          <t>Fv: ≤l1→0.4Fy; ≤l2→0.664√(FyE)/(h/t); else 0.905E/(h/t)²</t>
        </is>
      </c>
      <c r="B108" s="7">
        <f>IF(B105&lt;=B106,0.4*B12,IF(B105&lt;=B107,0.664*SQRT(B12*B13)/B105,0.905*B13/B105^2))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term k(1.33−0.33k)</t>
        </is>
      </c>
      <c r="B117" s="7">
        <f>B116*(1.33-0.33*B116)</f>
        <v/>
      </c>
      <c r="C117" s="5" t="inlineStr"/>
      <c r="D117" s="2" t="inlineStr"/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MAX(0,70*B114^2*(305+2.3*(B18/B11)-0.009*(B18/B11)*B105-0.5*B105)*B117*B119)*2*9.80665/1000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R_end (gravity) coeff·w·L</t>
        </is>
      </c>
      <c r="B122" s="7">
        <f>IF(B15="2-span continuous",0.375,IF(B15="3+ span continuous",0.4,0.5))*B22*B14</f>
        <v/>
      </c>
      <c r="C122" s="5" t="inlineStr">
        <is>
          <t>kN</t>
        </is>
      </c>
      <c r="D122" s="2" t="inlineStr"/>
    </row>
    <row r="123">
      <c r="A123" s="5" t="inlineStr">
        <is>
          <t>R_int (gravity)</t>
        </is>
      </c>
      <c r="B123" s="7">
        <f>IF(B15="2-span continuous",1.25,IF(B15="3+ span continuous",1.1,0))*B22*B14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= max(Rend/Pend, Rint/Pint)</t>
        </is>
      </c>
      <c r="B124" s="7">
        <f>MAX(B122/B120,IF(B123&gt;0,B123/B121,0))</f>
        <v/>
      </c>
      <c r="C124" s="5" t="inlineStr"/>
      <c r="D124" s="2" t="inlineStr">
        <is>
          <t>uplift reaction → bolt check, not web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B127*ABS(B21)*(B14*1000)^4/(B13*B49)</f>
        <v/>
      </c>
      <c r="C128" s="5" t="inlineStr">
        <is>
          <t>mm</t>
        </is>
      </c>
      <c r="D128" s="2" t="inlineStr">
        <is>
          <t>1 kN/m = 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SUMMARY OF CHECKS</t>
        </is>
      </c>
      <c r="B134" s="4" t="n"/>
      <c r="C134" s="4" t="n"/>
      <c r="D134" s="4" t="n"/>
      <c r="E134" s="4" t="n"/>
    </row>
    <row r="135">
      <c r="A135" s="10" t="inlineStr">
        <is>
          <t>Check</t>
        </is>
      </c>
      <c r="B135" s="10" t="inlineStr">
        <is>
          <t>UR</t>
        </is>
      </c>
      <c r="C135" s="10" t="inlineStr">
        <is>
          <t>Status</t>
        </is>
      </c>
      <c r="D135" s="10" t="inlineStr">
        <is>
          <t>Clause</t>
        </is>
      </c>
    </row>
    <row r="136">
      <c r="A136" s="5" t="inlineStr">
        <is>
          <t>Effective width (max λ/0.673)</t>
        </is>
      </c>
      <c r="B136" s="11">
        <f>B83</f>
        <v/>
      </c>
      <c r="C136" s="12">
        <f>IF(B83&gt;=1,"FAIL",IF(B83&gt;=0.9,"MARGINAL","PASS"))</f>
        <v/>
      </c>
      <c r="D136" s="2" t="inlineStr">
        <is>
          <t>Cl.5.2.1.1</t>
        </is>
      </c>
    </row>
    <row r="137">
      <c r="A137" s="5" t="inlineStr">
        <is>
          <t>Edge stiffener Imin/Is</t>
        </is>
      </c>
      <c r="B137" s="11">
        <f>B89</f>
        <v/>
      </c>
      <c r="C137" s="12">
        <f>IF(B89&gt;=1,"FAIL",IF(B89&gt;=0.9,"MARGINAL","PASS"))</f>
        <v/>
      </c>
      <c r="D137" s="2" t="inlineStr">
        <is>
          <t>Cl.5.2.2.1</t>
        </is>
      </c>
    </row>
    <row r="138">
      <c r="A138" s="5" t="inlineStr">
        <is>
          <t>Bending biaxial (uplift)</t>
        </is>
      </c>
      <c r="B138" s="11">
        <f>B71</f>
        <v/>
      </c>
      <c r="C138" s="12">
        <f>IF(B71&gt;=1,"FAIL",IF(B71&gt;=0.9,"MARGINAL","PASS"))</f>
        <v/>
      </c>
      <c r="D138" s="2" t="inlineStr">
        <is>
          <t>Cl.6.1.1</t>
        </is>
      </c>
    </row>
    <row r="139">
      <c r="A139" s="5" t="inlineStr">
        <is>
          <t>Bending gravity</t>
        </is>
      </c>
      <c r="B139" s="11">
        <f>B73</f>
        <v/>
      </c>
      <c r="C139" s="12">
        <f>IF(B73&gt;=1,"FAIL",IF(B73&gt;=0.9,"MARGINAL","PASS"))</f>
        <v/>
      </c>
      <c r="D139" s="2" t="inlineStr">
        <is>
          <t>Cl.6.1.1</t>
        </is>
      </c>
    </row>
    <row r="140">
      <c r="A140" s="5" t="inlineStr">
        <is>
          <t>LTB (governing of 2 methods)</t>
        </is>
      </c>
      <c r="B140" s="11">
        <f>B102</f>
        <v/>
      </c>
      <c r="C140" s="12">
        <f>IF(B102&gt;=1,"FAIL",IF(B102&gt;=0.9,"MARGINAL","PASS"))</f>
        <v/>
      </c>
      <c r="D140" s="2" t="inlineStr">
        <is>
          <t>Cl.6.3</t>
        </is>
      </c>
    </row>
    <row r="141">
      <c r="A141" s="5" t="inlineStr">
        <is>
          <t>Shear</t>
        </is>
      </c>
      <c r="B141" s="11">
        <f>B111</f>
        <v/>
      </c>
      <c r="C141" s="12">
        <f>IF(B111&gt;=1,"FAIL",IF(B111&gt;=0.9,"MARGINAL","PASS"))</f>
        <v/>
      </c>
      <c r="D141" s="2" t="inlineStr">
        <is>
          <t>Cl.6.4.1</t>
        </is>
      </c>
    </row>
    <row r="142">
      <c r="A142" s="5" t="inlineStr">
        <is>
          <t>Web crippling (gravity bearing)</t>
        </is>
      </c>
      <c r="B142" s="11">
        <f>B124</f>
        <v/>
      </c>
      <c r="C142" s="12">
        <f>IF(B124&gt;=1,"FAIL",IF(B124&gt;=0.9,"MARGINAL","PASS"))</f>
        <v/>
      </c>
      <c r="D142" s="2" t="inlineStr">
        <is>
          <t>Cl.6.5</t>
        </is>
      </c>
    </row>
    <row r="143">
      <c r="A143" s="5" t="inlineStr">
        <is>
          <t>Deflection</t>
        </is>
      </c>
      <c r="B143" s="11">
        <f>B132</f>
        <v/>
      </c>
      <c r="C143" s="12">
        <f>IF(B132&gt;=1,"FAIL",IF(B132&gt;=0.9,"MARGINAL","PASS"))</f>
        <v/>
      </c>
      <c r="D143" s="2" t="inlineStr">
        <is>
          <t>serviceability</t>
        </is>
      </c>
    </row>
    <row r="144">
      <c r="A144" s="13" t="inlineStr">
        <is>
          <t>OVERALL (max UR)</t>
        </is>
      </c>
      <c r="B144" s="14">
        <f>MAX(B83,B89,B71,B73,B102,B111,B124,B132)</f>
        <v/>
      </c>
      <c r="C144" s="15">
        <f>IF(B144&gt;=1,"FAIL",IF(B144&gt;=0.9,"MARGINAL","PASS"))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2026-07-03T19:46:45Z</dcterms:created>
  <dcterms:modified xsi:type="dcterms:W3CDTF">2026-07-03T19:46:45Z</dcterms:modified>
</cp:coreProperties>
</file>