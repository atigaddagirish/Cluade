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w net uplift (working)</t>
        </is>
      </c>
      <c r="B21" s="6" t="n">
        <v>0.981</v>
      </c>
      <c r="C21" s="5" t="inlineStr">
        <is>
          <t>kN/m</t>
        </is>
      </c>
      <c r="D21" s="2" t="inlineStr">
        <is>
          <t>WL−DL, service</t>
        </is>
      </c>
    </row>
    <row r="22">
      <c r="A22" s="5" t="inlineStr">
        <is>
          <t>w gravity (working)</t>
        </is>
      </c>
      <c r="B22" s="6" t="n">
        <v>0.147</v>
      </c>
      <c r="C22" s="5" t="inlineStr">
        <is>
          <t>kN/m</t>
        </is>
      </c>
      <c r="D22" s="2" t="inlineStr"/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 +33% allowable increase</t>
        </is>
      </c>
      <c r="B24" s="6" t="n">
        <v>0</v>
      </c>
      <c r="C24" s="5" t="inlineStr"/>
      <c r="D24" s="2" t="inlineStr">
        <is>
          <t>REMOVED per project practice — allowables at 0.6Fy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B21*B14^2/8</f>
        <v/>
      </c>
      <c r="C62" s="5" t="inlineStr">
        <is>
          <t>kN·m</t>
        </is>
      </c>
      <c r="D62" s="2" t="inlineStr">
        <is>
          <t>wL²/8: exact 2-span support M, conservative 3+</t>
        </is>
      </c>
    </row>
    <row r="63">
      <c r="A63" s="5" t="inlineStr">
        <is>
          <t>M gravity = w·L²/8</t>
        </is>
      </c>
      <c r="B63" s="7">
        <f>B22*B14^2/8</f>
        <v/>
      </c>
      <c r="C63" s="5" t="inlineStr">
        <is>
          <t>kN·m</t>
        </is>
      </c>
      <c r="D63" s="2" t="inlineStr"/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>Fb design (no wind increase)</t>
        </is>
      </c>
      <c r="B66" s="7">
        <f>B65</f>
        <v/>
      </c>
      <c r="C66" s="5" t="inlineStr">
        <is>
          <t>MPa</t>
        </is>
      </c>
      <c r="D66" s="2" t="inlineStr"/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(Ix/dist to comp. fibre)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feet+lips + 2×web below NA</t>
        </is>
      </c>
      <c r="B95" s="7">
        <f>B58+2*(($B$11*((B48/B6)*B34)^3/12)*(B28/B34)^2+(((B48/B6)*B34)*$B$11^3/12)*(B6/B34)^2+((B48/B6)*B34)*$B$11*((B29+(B29-B28*(B48/B6)))/2)^2)</f>
        <v/>
      </c>
      <c r="C95" s="5" t="inlineStr">
        <is>
          <t>mm⁴</t>
        </is>
      </c>
      <c r="D95" s="2" t="inlineStr">
        <is>
          <t>comp. portion about gravity axis ∥ web</t>
        </is>
      </c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 design (no wind increase)</t>
        </is>
      </c>
      <c r="B101" s="7">
        <f>B100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h/t limit = 4590/√Fy (kgf/cm²)</t>
        </is>
      </c>
      <c r="B106" s="7">
        <f>4590/SQRT(B115)</f>
        <v/>
      </c>
      <c r="C106" s="5" t="inlineStr"/>
      <c r="D106" s="2" t="inlineStr"/>
    </row>
    <row r="107">
      <c r="A107" s="5" t="inlineStr">
        <is>
          <t>Fv (kgf/cm²): ≤lim→min(0.4Fy, 1275√Fy/(h/t)); else 5.85e6/(h/t)²</t>
        </is>
      </c>
      <c r="B107" s="7">
        <f>IF(B105&lt;=B106,MIN(0.4*B115,1275*SQRT(B115)/B105),5850000/B105^2)</f>
        <v/>
      </c>
      <c r="C107" s="5" t="inlineStr">
        <is>
          <t>kgf/cm²</t>
        </is>
      </c>
      <c r="D107" s="2" t="inlineStr">
        <is>
          <t>literal Cl.6.4.1</t>
        </is>
      </c>
    </row>
    <row r="108">
      <c r="A108" s="5" t="inlineStr">
        <is>
          <t>Fv (MPa)</t>
        </is>
      </c>
      <c r="B108" s="7">
        <f>B107*0.0980665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end k(1.33−0.33k); int k(1.22−0.22k)</t>
        </is>
      </c>
      <c r="B117" s="7">
        <f>B116*(1.33-0.33*B116)</f>
        <v/>
      </c>
      <c r="C117" s="5" t="inlineStr"/>
      <c r="D117" s="2" t="inlineStr">
        <is>
          <t>end term</t>
        </is>
      </c>
      <c r="E117" s="7">
        <f>B116*(1.22-0.22*B116)</f>
        <v/>
      </c>
      <c r="F117" s="2" t="inlineStr">
        <is>
          <t>int term (E117)</t>
        </is>
      </c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MAX(0,70*B114^2*(305+2.3*(B18/B11)-0.009*(B18/B11)*B105-0.5*B105)*E117*B119)*2*9.80665/1000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R_end (gravity) coeff·w·L</t>
        </is>
      </c>
      <c r="B122" s="7">
        <f>IF(B15="2-span continuous",0.375,IF(B15="3+ span continuous",0.4,0.5))*B22*B14</f>
        <v/>
      </c>
      <c r="C122" s="5" t="inlineStr">
        <is>
          <t>kN</t>
        </is>
      </c>
      <c r="D122" s="2" t="inlineStr"/>
    </row>
    <row r="123">
      <c r="A123" s="5" t="inlineStr">
        <is>
          <t>R_int (gravity)</t>
        </is>
      </c>
      <c r="B123" s="7">
        <f>IF(B15="2-span continuous",1.25,IF(B15="3+ span continuous",1.1,0))*B22*B14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= max(Rend/Pend, Rint/Pint)</t>
        </is>
      </c>
      <c r="B124" s="7">
        <f>MAX(B122/B120,IF(B123&gt;0,B123/B121,0))</f>
        <v/>
      </c>
      <c r="C124" s="5" t="inlineStr"/>
      <c r="D124" s="2" t="inlineStr">
        <is>
          <t>uplift reaction → bolt check, not web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B127*ABS(B21)*(B14*1000)^4/(B13*B49)</f>
        <v/>
      </c>
      <c r="C128" s="5" t="inlineStr">
        <is>
          <t>mm</t>
        </is>
      </c>
      <c r="D128" s="2" t="inlineStr">
        <is>
          <t>1 kN/m = 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WEB BENDING Cl.6.4.2 / COMBINED Cl.6.4.3 / FLAT-WIDTH Cl.5.2.4</t>
        </is>
      </c>
      <c r="B134" s="4" t="n"/>
      <c r="C134" s="4" t="n"/>
      <c r="D134" s="4" t="n"/>
      <c r="E134" s="4" t="n"/>
    </row>
    <row r="135">
      <c r="A135" s="5" t="inlineStr">
        <is>
          <t>Fbw = min(36.56e6/(h/t)² kgf/cm², 0.6Fy)</t>
        </is>
      </c>
      <c r="B135" s="7">
        <f>MIN(36560000/B105^2*0.0980665,0.6*B12)</f>
        <v/>
      </c>
      <c r="C135" s="5" t="inlineStr">
        <is>
          <t>MPa</t>
        </is>
      </c>
      <c r="D135" s="2" t="inlineStr">
        <is>
          <t>Cl.6.4.2</t>
        </is>
      </c>
    </row>
    <row r="136">
      <c r="A136" s="5" t="inlineStr">
        <is>
          <t>Fbw design (no wind increase)</t>
        </is>
      </c>
      <c r="B136" s="7">
        <f>B135</f>
        <v/>
      </c>
      <c r="C136" s="5" t="inlineStr">
        <is>
          <t>MPa</t>
        </is>
      </c>
      <c r="D136" s="2" t="inlineStr"/>
    </row>
    <row r="137">
      <c r="A137" s="5" t="inlineStr">
        <is>
          <t>UR web bending = f_strong/Fbw</t>
        </is>
      </c>
      <c r="B137" s="7">
        <f>B69/B136</f>
        <v/>
      </c>
      <c r="C137" s="5" t="inlineStr"/>
      <c r="D137" s="2" t="inlineStr"/>
    </row>
    <row r="138">
      <c r="A138" s="5" t="inlineStr">
        <is>
          <t>fv actual = V/(2·H·t)</t>
        </is>
      </c>
      <c r="B138" s="7">
        <f>B110*1000/(2*B6*B11)</f>
        <v/>
      </c>
      <c r="C138" s="5" t="inlineStr">
        <is>
          <t>MPa</t>
        </is>
      </c>
      <c r="D138" s="2" t="inlineStr"/>
    </row>
    <row r="139">
      <c r="A139" s="5" t="inlineStr">
        <is>
          <t>UR combined = √((f/Fbw)²+(fv/Fv)²)</t>
        </is>
      </c>
      <c r="B139" s="7">
        <f>SQRT((B69/B136)^2+(B138/B108)^2)</f>
        <v/>
      </c>
      <c r="C139" s="5" t="inlineStr"/>
      <c r="D139" s="2" t="inlineStr">
        <is>
          <t>Cl.6.4.3</t>
        </is>
      </c>
    </row>
    <row r="140">
      <c r="A140" s="5" t="inlineStr">
        <is>
          <t>UR flange w/t ≤ 60</t>
        </is>
      </c>
      <c r="B140" s="7">
        <f>(B8/B11)/60</f>
        <v/>
      </c>
      <c r="C140" s="5" t="inlineStr"/>
      <c r="D140" s="2" t="inlineStr">
        <is>
          <t>Cl.5.2.4</t>
        </is>
      </c>
    </row>
    <row r="141">
      <c r="A141" s="5" t="inlineStr">
        <is>
          <t>UR web h/t ≤ 150</t>
        </is>
      </c>
      <c r="B141" s="7">
        <f>B105/150</f>
        <v/>
      </c>
      <c r="C141" s="5" t="inlineStr"/>
      <c r="D141" s="2" t="inlineStr">
        <is>
          <t>Cl.5.2.4</t>
        </is>
      </c>
    </row>
    <row r="143">
      <c r="A143" s="3" t="inlineStr">
        <is>
          <t>13. SUMMARY OF CHECKS</t>
        </is>
      </c>
      <c r="B143" s="4" t="n"/>
      <c r="C143" s="4" t="n"/>
      <c r="D143" s="4" t="n"/>
      <c r="E143" s="4" t="n"/>
    </row>
    <row r="144">
      <c r="A144" s="10" t="inlineStr">
        <is>
          <t>Check</t>
        </is>
      </c>
      <c r="B144" s="10" t="inlineStr">
        <is>
          <t>UR</t>
        </is>
      </c>
      <c r="C144" s="10" t="inlineStr">
        <is>
          <t>Status</t>
        </is>
      </c>
      <c r="D144" s="10" t="inlineStr">
        <is>
          <t>Clause</t>
        </is>
      </c>
    </row>
    <row r="145">
      <c r="A145" s="5" t="inlineStr">
        <is>
          <t>Effective width (max λ/0.673)</t>
        </is>
      </c>
      <c r="B145" s="11">
        <f>B83</f>
        <v/>
      </c>
      <c r="C145" s="12">
        <f>IF(B83&gt;=1,"FAIL",IF(B83&gt;=0.9,"MARGINAL","PASS"))</f>
        <v/>
      </c>
      <c r="D145" s="2" t="inlineStr">
        <is>
          <t>Cl.5.2.1.1</t>
        </is>
      </c>
    </row>
    <row r="146">
      <c r="A146" s="5" t="inlineStr">
        <is>
          <t>Edge stiffener Imin/Is</t>
        </is>
      </c>
      <c r="B146" s="11">
        <f>B89</f>
        <v/>
      </c>
      <c r="C146" s="12">
        <f>IF(B89&gt;=1,"FAIL",IF(B89&gt;=0.9,"MARGINAL","PASS"))</f>
        <v/>
      </c>
      <c r="D146" s="2" t="inlineStr">
        <is>
          <t>Cl.5.2.2.1</t>
        </is>
      </c>
    </row>
    <row r="147">
      <c r="A147" s="5" t="inlineStr">
        <is>
          <t>Bending biaxial (uplift)</t>
        </is>
      </c>
      <c r="B147" s="11">
        <f>B71</f>
        <v/>
      </c>
      <c r="C147" s="12">
        <f>IF(B71&gt;=1,"FAIL",IF(B71&gt;=0.9,"MARGINAL","PASS"))</f>
        <v/>
      </c>
      <c r="D147" s="2" t="inlineStr">
        <is>
          <t>Cl.6.1.1</t>
        </is>
      </c>
    </row>
    <row r="148">
      <c r="A148" s="5" t="inlineStr">
        <is>
          <t>Bending gravity</t>
        </is>
      </c>
      <c r="B148" s="11">
        <f>B73</f>
        <v/>
      </c>
      <c r="C148" s="12">
        <f>IF(B73&gt;=1,"FAIL",IF(B73&gt;=0.9,"MARGINAL","PASS"))</f>
        <v/>
      </c>
      <c r="D148" s="2" t="inlineStr">
        <is>
          <t>Cl.6.1.1</t>
        </is>
      </c>
    </row>
    <row r="149">
      <c r="A149" s="5" t="inlineStr">
        <is>
          <t>LTB (governing of 2 methods)</t>
        </is>
      </c>
      <c r="B149" s="11">
        <f>B102</f>
        <v/>
      </c>
      <c r="C149" s="12">
        <f>IF(B102&gt;=1,"FAIL",IF(B102&gt;=0.9,"MARGINAL","PASS"))</f>
        <v/>
      </c>
      <c r="D149" s="2" t="inlineStr">
        <is>
          <t>Cl.6.3</t>
        </is>
      </c>
    </row>
    <row r="150">
      <c r="A150" s="5" t="inlineStr">
        <is>
          <t>Shear</t>
        </is>
      </c>
      <c r="B150" s="11">
        <f>B111</f>
        <v/>
      </c>
      <c r="C150" s="12">
        <f>IF(B111&gt;=1,"FAIL",IF(B111&gt;=0.9,"MARGINAL","PASS"))</f>
        <v/>
      </c>
      <c r="D150" s="2" t="inlineStr">
        <is>
          <t>Cl.6.4.1</t>
        </is>
      </c>
    </row>
    <row r="151">
      <c r="A151" s="5" t="inlineStr">
        <is>
          <t>Web crippling (gravity bearing)</t>
        </is>
      </c>
      <c r="B151" s="11">
        <f>B124</f>
        <v/>
      </c>
      <c r="C151" s="12">
        <f>IF(B124&gt;=1,"FAIL",IF(B124&gt;=0.9,"MARGINAL","PASS"))</f>
        <v/>
      </c>
      <c r="D151" s="2" t="inlineStr">
        <is>
          <t>Cl.6.5</t>
        </is>
      </c>
    </row>
    <row r="152">
      <c r="A152" s="5" t="inlineStr">
        <is>
          <t>Web bending</t>
        </is>
      </c>
      <c r="B152" s="11">
        <f>B137</f>
        <v/>
      </c>
      <c r="C152" s="12">
        <f>IF(B137&gt;=1,"FAIL",IF(B137&gt;=0.9,"MARGINAL","PASS"))</f>
        <v/>
      </c>
      <c r="D152" s="2" t="inlineStr">
        <is>
          <t>Cl.6.4.2</t>
        </is>
      </c>
    </row>
    <row r="153">
      <c r="A153" s="5" t="inlineStr">
        <is>
          <t>Combined bending + shear</t>
        </is>
      </c>
      <c r="B153" s="11">
        <f>B139</f>
        <v/>
      </c>
      <c r="C153" s="12">
        <f>IF(B139&gt;=1,"FAIL",IF(B139&gt;=0.9,"MARGINAL","PASS"))</f>
        <v/>
      </c>
      <c r="D153" s="2" t="inlineStr">
        <is>
          <t>Cl.6.4.3</t>
        </is>
      </c>
    </row>
    <row r="154">
      <c r="A154" s="5" t="inlineStr">
        <is>
          <t>Flange w/t ≤ 60</t>
        </is>
      </c>
      <c r="B154" s="11">
        <f>B140</f>
        <v/>
      </c>
      <c r="C154" s="12">
        <f>IF(B140&gt;=1,"FAIL",IF(B140&gt;=0.9,"MARGINAL","PASS"))</f>
        <v/>
      </c>
      <c r="D154" s="2" t="inlineStr">
        <is>
          <t>Cl.5.2.4</t>
        </is>
      </c>
    </row>
    <row r="155">
      <c r="A155" s="5" t="inlineStr">
        <is>
          <t>Web h/t ≤ 150</t>
        </is>
      </c>
      <c r="B155" s="11">
        <f>B141</f>
        <v/>
      </c>
      <c r="C155" s="12">
        <f>IF(B141&gt;=1,"FAIL",IF(B141&gt;=0.9,"MARGINAL","PASS"))</f>
        <v/>
      </c>
      <c r="D155" s="2" t="inlineStr">
        <is>
          <t>Cl.5.2.4</t>
        </is>
      </c>
    </row>
    <row r="156">
      <c r="A156" s="5" t="inlineStr">
        <is>
          <t>Deflection</t>
        </is>
      </c>
      <c r="B156" s="11">
        <f>B132</f>
        <v/>
      </c>
      <c r="C156" s="12">
        <f>IF(B132&gt;=1,"FAIL",IF(B132&gt;=0.9,"MARGINAL","PASS"))</f>
        <v/>
      </c>
      <c r="D156" s="2" t="inlineStr">
        <is>
          <t>serviceability</t>
        </is>
      </c>
    </row>
    <row r="157">
      <c r="A157" s="13" t="inlineStr">
        <is>
          <t>OVERALL (max UR)</t>
        </is>
      </c>
      <c r="B157" s="14">
        <f>MAX(B83,B89,B71,B73,B102,B111,B124,B137,B139,B140,B141,B132)</f>
        <v/>
      </c>
      <c r="C157" s="15">
        <f>IF(B157&gt;=1,"FAIL",IF(B157&gt;=0.9,"MARGINAL","PASS"))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2026-07-06T07:52:30Z</dcterms:created>
  <dcterms:modified xsi:type="dcterms:W3CDTF">2026-07-06T07:52:30Z</dcterms:modified>
</cp:coreProperties>
</file>